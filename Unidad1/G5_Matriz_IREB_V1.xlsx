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comments/comment10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comments/comment11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1.xml" ContentType="application/vnd.openxmlformats-officedocument.drawing+xml"/>
  <Override PartName="/xl/comments/comment12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2.xml" ContentType="application/vnd.openxmlformats-officedocument.drawing+xml"/>
  <Override PartName="/xl/comments/comment13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3.xml" ContentType="application/vnd.openxmlformats-officedocument.drawing+xml"/>
  <Override PartName="/xl/comments/comment14.xml" ContentType="application/vnd.openxmlformats-officedocument.spreadsheetml.comments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z Ckeck LIst" sheetId="1" state="visible" r:id="rId1"/>
    <sheet xmlns:r="http://schemas.openxmlformats.org/officeDocument/2006/relationships" name="COMPROBACION - CU-01" sheetId="2" state="visible" r:id="rId2"/>
    <sheet xmlns:r="http://schemas.openxmlformats.org/officeDocument/2006/relationships" name="RECOMENDACIONES - CU-01" sheetId="3" state="visible" r:id="rId3"/>
    <sheet xmlns:r="http://schemas.openxmlformats.org/officeDocument/2006/relationships" name="COMPROBACION - CU-02" sheetId="4" state="visible" r:id="rId4"/>
    <sheet xmlns:r="http://schemas.openxmlformats.org/officeDocument/2006/relationships" name="RECOMENDACIONES - CU-02" sheetId="5" state="visible" r:id="rId5"/>
    <sheet xmlns:r="http://schemas.openxmlformats.org/officeDocument/2006/relationships" name="COMPROBACION - CU-03" sheetId="6" state="visible" r:id="rId6"/>
    <sheet xmlns:r="http://schemas.openxmlformats.org/officeDocument/2006/relationships" name="RECOMENDACIONES - CU-03" sheetId="7" state="visible" r:id="rId7"/>
    <sheet xmlns:r="http://schemas.openxmlformats.org/officeDocument/2006/relationships" name="COMPROBACION - CU-04" sheetId="8" state="visible" r:id="rId8"/>
    <sheet xmlns:r="http://schemas.openxmlformats.org/officeDocument/2006/relationships" name="RECOMENDACIONES - CU-04" sheetId="9" state="visible" r:id="rId9"/>
    <sheet xmlns:r="http://schemas.openxmlformats.org/officeDocument/2006/relationships" name="COMPROBACION - CU-05" sheetId="10" state="visible" r:id="rId10"/>
    <sheet xmlns:r="http://schemas.openxmlformats.org/officeDocument/2006/relationships" name="RECOMENDACIONES - CU-05" sheetId="11" state="visible" r:id="rId11"/>
    <sheet xmlns:r="http://schemas.openxmlformats.org/officeDocument/2006/relationships" name="COMPROBACION - CU-06" sheetId="12" state="visible" r:id="rId12"/>
    <sheet xmlns:r="http://schemas.openxmlformats.org/officeDocument/2006/relationships" name="RECOMENDACIONES - CU-06" sheetId="13" state="visible" r:id="rId13"/>
    <sheet xmlns:r="http://schemas.openxmlformats.org/officeDocument/2006/relationships" name="COMPROBACION - CU-07" sheetId="14" state="visible" r:id="rId14"/>
    <sheet xmlns:r="http://schemas.openxmlformats.org/officeDocument/2006/relationships" name="RECOMENDACIONES - CU-07" sheetId="15" state="visible" r:id="rId15"/>
    <sheet xmlns:r="http://schemas.openxmlformats.org/officeDocument/2006/relationships" name="COMPROBACION - CU-08" sheetId="16" state="visible" r:id="rId16"/>
    <sheet xmlns:r="http://schemas.openxmlformats.org/officeDocument/2006/relationships" name="RECOMENDACIONES - CU-08" sheetId="17" state="visible" r:id="rId17"/>
    <sheet xmlns:r="http://schemas.openxmlformats.org/officeDocument/2006/relationships" name="COMPROBACION - CU-09" sheetId="18" state="visible" r:id="rId18"/>
    <sheet xmlns:r="http://schemas.openxmlformats.org/officeDocument/2006/relationships" name="RECOMENDACIONES - CU-09" sheetId="19" state="visible" r:id="rId19"/>
    <sheet xmlns:r="http://schemas.openxmlformats.org/officeDocument/2006/relationships" name="COMPROBACION - CU-10" sheetId="20" state="visible" r:id="rId20"/>
    <sheet xmlns:r="http://schemas.openxmlformats.org/officeDocument/2006/relationships" name="RECOMENDACIONES - CU-10" sheetId="21" state="visible" r:id="rId21"/>
    <sheet xmlns:r="http://schemas.openxmlformats.org/officeDocument/2006/relationships" name="COMPROBACION - CU-11" sheetId="22" state="visible" r:id="rId22"/>
    <sheet xmlns:r="http://schemas.openxmlformats.org/officeDocument/2006/relationships" name="RECOMENDACIONES - CU-11" sheetId="23" state="visible" r:id="rId23"/>
    <sheet xmlns:r="http://schemas.openxmlformats.org/officeDocument/2006/relationships" name="COMPROBACION - CU-12" sheetId="24" state="visible" r:id="rId24"/>
    <sheet xmlns:r="http://schemas.openxmlformats.org/officeDocument/2006/relationships" name="RECOMENDACIONES - CU-12" sheetId="25" state="visible" r:id="rId25"/>
    <sheet xmlns:r="http://schemas.openxmlformats.org/officeDocument/2006/relationships" name="COMPROBACION - CU-13" sheetId="26" state="visible" r:id="rId26"/>
    <sheet xmlns:r="http://schemas.openxmlformats.org/officeDocument/2006/relationships" name="RECOMENDACIONES - CU-13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color theme="1"/>
      <sz val="11"/>
      <scheme val="minor"/>
    </font>
    <font>
      <name val="Arial"/>
      <color theme="1"/>
      <sz val="8"/>
    </font>
    <font>
      <name val="Calibri"/>
      <b val="1"/>
      <color rgb="FF1F497D"/>
      <sz val="18"/>
    </font>
    <font>
      <name val="Calibri"/>
      <b val="1"/>
      <color theme="1"/>
      <sz val="18"/>
    </font>
    <font>
      <name val="Arial"/>
      <b val="1"/>
      <color theme="1"/>
      <sz val="18"/>
    </font>
    <font/>
    <font>
      <name val="Arial"/>
      <b val="1"/>
      <color theme="1"/>
      <sz val="12"/>
    </font>
    <font>
      <name val="Arial"/>
      <b val="1"/>
      <color theme="1"/>
      <sz val="11"/>
    </font>
    <font>
      <name val="Calibri"/>
      <color theme="1"/>
      <sz val="11"/>
    </font>
    <font>
      <name val="Calibri"/>
      <b val="1"/>
      <color theme="0"/>
      <sz val="16"/>
    </font>
    <font>
      <name val="Calibri"/>
      <b val="1"/>
      <color theme="1"/>
      <sz val="16"/>
    </font>
    <font>
      <name val="Calibri"/>
      <b val="1"/>
      <color rgb="FFFFFFFF"/>
      <sz val="12"/>
    </font>
    <font>
      <name val="Calibri"/>
      <color theme="1"/>
      <scheme val="minor"/>
    </font>
    <font>
      <name val="Calibri"/>
      <b val="1"/>
      <color theme="1"/>
      <sz val="14"/>
    </font>
    <font>
      <name val="Calibri"/>
      <color theme="1"/>
      <sz val="14"/>
    </font>
    <font>
      <name val="Calibri"/>
      <b val="1"/>
      <color rgb="FFFA7D00"/>
      <sz val="18"/>
    </font>
    <font>
      <name val="Calibri"/>
      <b val="1"/>
      <color theme="0"/>
      <sz val="11"/>
    </font>
    <font>
      <name val="Calibri"/>
      <b val="1"/>
      <color rgb="001F497D"/>
      <sz val="18"/>
    </font>
    <font>
      <name val="Calibri"/>
      <b val="1"/>
      <color rgb="00000000"/>
      <sz val="18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4"/>
    </font>
    <font>
      <name val="Calibri"/>
      <color rgb="00000000"/>
      <sz val="14"/>
    </font>
    <font>
      <name val="Calibri"/>
      <b val="1"/>
      <color rgb="00FA7D00"/>
      <sz val="18"/>
    </font>
    <font>
      <name val="Calibri"/>
      <color rgb="00000000"/>
      <sz val="11"/>
    </font>
  </fonts>
  <fills count="1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rgb="00D8D8D8"/>
      </patternFill>
    </fill>
    <fill>
      <patternFill patternType="solid">
        <fgColor rgb="004472C4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B8CCE4"/>
      </patternFill>
    </fill>
    <fill>
      <patternFill patternType="solid">
        <fgColor rgb="00C2D69B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2" borderId="4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5" fillId="0" borderId="6" pivotButton="0" quotePrefix="0" xfId="0"/>
    <xf numFmtId="0" fontId="7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8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9" fillId="3" borderId="1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3" borderId="12" applyAlignment="1" pivotButton="0" quotePrefix="0" xfId="0">
      <alignment horizontal="left" vertical="center" wrapText="1"/>
    </xf>
    <xf numFmtId="0" fontId="12" fillId="0" borderId="0" pivotButton="0" quotePrefix="0" xfId="0"/>
    <xf numFmtId="0" fontId="11" fillId="3" borderId="7" applyAlignment="1" pivotButton="0" quotePrefix="0" xfId="0">
      <alignment vertical="center" wrapText="1"/>
    </xf>
    <xf numFmtId="0" fontId="11" fillId="3" borderId="7" applyAlignment="1" pivotButton="0" quotePrefix="0" xfId="0">
      <alignment horizontal="left" vertical="center" wrapText="1"/>
    </xf>
    <xf numFmtId="0" fontId="10" fillId="5" borderId="7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top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/>
    </xf>
    <xf numFmtId="15" fontId="14" fillId="0" borderId="0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 vertical="center"/>
    </xf>
    <xf numFmtId="0" fontId="14" fillId="6" borderId="12" applyAlignment="1" pivotButton="0" quotePrefix="0" xfId="0">
      <alignment horizontal="center" vertical="center"/>
    </xf>
    <xf numFmtId="0" fontId="14" fillId="6" borderId="14" applyAlignment="1" pivotButton="0" quotePrefix="0" xfId="0">
      <alignment horizontal="center" vertical="center"/>
    </xf>
    <xf numFmtId="0" fontId="14" fillId="6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7" applyAlignment="1" pivotButton="0" quotePrefix="0" xfId="0">
      <alignment wrapText="1"/>
    </xf>
    <xf numFmtId="0" fontId="8" fillId="0" borderId="7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4" applyAlignment="1" pivotButton="0" quotePrefix="0" xfId="0">
      <alignment wrapText="1"/>
    </xf>
    <xf numFmtId="0" fontId="8" fillId="0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8" fillId="0" borderId="0" pivotButton="0" quotePrefix="0" xfId="0"/>
    <xf numFmtId="9" fontId="8" fillId="0" borderId="0" pivotButton="0" quotePrefix="0" xfId="0"/>
    <xf numFmtId="0" fontId="15" fillId="0" borderId="16" applyAlignment="1" pivotButton="0" quotePrefix="0" xfId="0">
      <alignment horizontal="center" vertical="center"/>
    </xf>
    <xf numFmtId="0" fontId="5" fillId="0" borderId="16" pivotButton="0" quotePrefix="0" xfId="0"/>
    <xf numFmtId="0" fontId="13" fillId="0" borderId="10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8" fillId="0" borderId="0" pivotButton="0" quotePrefix="0" xfId="0"/>
    <xf numFmtId="0" fontId="16" fillId="7" borderId="7" applyAlignment="1" pivotButton="0" quotePrefix="0" xfId="0">
      <alignment horizontal="center" vertical="center"/>
    </xf>
    <xf numFmtId="0" fontId="8" fillId="0" borderId="7" applyAlignment="1" pivotButton="0" quotePrefix="0" xfId="0">
      <alignment wrapText="1"/>
    </xf>
    <xf numFmtId="0" fontId="8" fillId="0" borderId="7" pivotButton="0" quotePrefix="0" xfId="0"/>
    <xf numFmtId="0" fontId="8" fillId="0" borderId="7" applyAlignment="1" pivotButton="0" quotePrefix="0" xfId="0">
      <alignment horizontal="center" vertical="top" wrapText="1"/>
    </xf>
    <xf numFmtId="0" fontId="8" fillId="0" borderId="7" applyAlignment="1" pivotButton="0" quotePrefix="0" xfId="0">
      <alignment vertical="top" wrapText="1"/>
    </xf>
    <xf numFmtId="0" fontId="12" fillId="0" borderId="7" applyAlignment="1" pivotButton="0" quotePrefix="0" xfId="0">
      <alignment vertical="top" wrapText="1"/>
    </xf>
    <xf numFmtId="0" fontId="12" fillId="0" borderId="7" applyAlignment="1" pivotButton="0" quotePrefix="0" xfId="0">
      <alignment wrapText="1"/>
    </xf>
    <xf numFmtId="0" fontId="12" fillId="0" borderId="7" applyAlignment="1" pivotButton="0" quotePrefix="0" xfId="0">
      <alignment horizontal="center" vertical="top" wrapText="1"/>
    </xf>
    <xf numFmtId="0" fontId="0" fillId="0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center" vertical="center" wrapText="1"/>
    </xf>
    <xf numFmtId="0" fontId="19" fillId="8" borderId="21" applyAlignment="1" pivotButton="0" quotePrefix="0" xfId="0">
      <alignment horizontal="center" vertical="center" wrapText="1"/>
    </xf>
    <xf numFmtId="0" fontId="20" fillId="8" borderId="21" applyAlignment="1" pivotButton="0" quotePrefix="0" xfId="0">
      <alignment horizontal="center" vertical="center" wrapText="1"/>
    </xf>
    <xf numFmtId="0" fontId="21" fillId="9" borderId="21" applyAlignment="1" pivotButton="0" quotePrefix="0" xfId="0">
      <alignment horizontal="center" vertical="center" wrapText="1"/>
    </xf>
    <xf numFmtId="0" fontId="21" fillId="10" borderId="21" applyAlignment="1" pivotButton="0" quotePrefix="0" xfId="0">
      <alignment horizontal="center" vertical="center" wrapText="1"/>
    </xf>
    <xf numFmtId="0" fontId="22" fillId="9" borderId="21" applyAlignment="1" pivotButton="0" quotePrefix="0" xfId="0">
      <alignment horizontal="left" vertical="center" wrapText="1"/>
    </xf>
    <xf numFmtId="0" fontId="21" fillId="11" borderId="21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horizontal="left" vertical="center"/>
    </xf>
    <xf numFmtId="0" fontId="23" fillId="12" borderId="21" applyAlignment="1" pivotButton="0" quotePrefix="0" xfId="0">
      <alignment horizontal="center" vertical="center" wrapText="1"/>
    </xf>
    <xf numFmtId="0" fontId="26" fillId="0" borderId="21" applyAlignment="1" pivotButton="0" quotePrefix="0" xfId="0">
      <alignment horizontal="center" vertical="center" wrapText="1"/>
    </xf>
    <xf numFmtId="0" fontId="26" fillId="0" borderId="2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/>
    </xf>
    <xf numFmtId="0" fontId="20" fillId="13" borderId="21" applyAlignment="1" pivotButton="0" quotePrefix="0" xfId="0">
      <alignment horizontal="center" vertical="center" wrapText="1"/>
    </xf>
  </cellXfs>
  <cellStyles count="1">
    <cellStyle name="Normal" xfId="0" builtinId="0"/>
  </cellStyles>
  <dxfs count="13"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 val="1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/>
      </fill>
      <border/>
    </dxf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  <tableStyles count="9" defaultTableStyle="TableStyleMedium9" defaultPivotStyle="PivotStyleLight16">
    <tableStyle name="MODELO LISTA DE COMPROBACION - -style" pivot="0" count="3">
      <tableStyleElement type="headerRow" dxfId="6"/>
      <tableStyleElement type="firstRowStripe" dxfId="7"/>
      <tableStyleElement type="secondRowStripe" dxfId="8"/>
    </tableStyle>
    <tableStyle name="MODELO LISTA DE COMPROBACION - -style 2" pivot="0" count="3">
      <tableStyleElement type="headerRow" dxfId="9"/>
      <tableStyleElement type="firstRowStripe" dxfId="10"/>
      <tableStyleElement type="secondRowStripe" dxfId="8"/>
    </tableStyle>
    <tableStyle name="MODELO LISTA DE COMPROBACION - -style 3" pivot="0" count="3">
      <tableStyleElement type="headerRow" dxfId="11"/>
      <tableStyleElement type="firstRowStripe" dxfId="12"/>
      <tableStyleElement type="secondRowStripe" dxfId="8"/>
    </tableStyle>
    <tableStyle name="Hoja 1-style" pivot="0" count="3">
      <tableStyleElement type="headerRow" dxfId="6"/>
      <tableStyleElement type="firstRowStripe" dxfId="7"/>
      <tableStyleElement type="secondRowStripe" dxfId="8"/>
    </tableStyle>
    <tableStyle name="Hoja 1-style 2" pivot="0" count="3">
      <tableStyleElement type="headerRow" dxfId="9"/>
      <tableStyleElement type="firstRowStripe" dxfId="10"/>
      <tableStyleElement type="secondRowStripe" dxfId="8"/>
    </tableStyle>
    <tableStyle name="Hoja 1-style 3" pivot="0" count="3">
      <tableStyleElement type="headerRow" dxfId="11"/>
      <tableStyleElement type="firstRowStripe" dxfId="12"/>
      <tableStyleElement type="secondRowStripe" dxfId="8"/>
    </tableStyle>
    <tableStyle name="MODELO DE LISTA DE COMPROBACION-style" pivot="0" count="3">
      <tableStyleElement type="headerRow" dxfId="6"/>
      <tableStyleElement type="firstRowStripe" dxfId="7"/>
      <tableStyleElement type="secondRowStripe" dxfId="8"/>
    </tableStyle>
    <tableStyle name="MODELO DE LISTA DE COMPROBACION-style 2" pivot="0" count="3">
      <tableStyleElement type="headerRow" dxfId="9"/>
      <tableStyleElement type="firstRowStripe" dxfId="10"/>
      <tableStyleElement type="secondRowStripe" dxfId="8"/>
    </tableStyle>
    <tableStyle name="MODELO DE LISTA DE COMPROBACION-style 3" pivot="0" count="3">
      <tableStyleElement type="headerRow" dxfId="11"/>
      <tableStyleElement type="firstRowStripe" dxfId="12"/>
      <tableStyleElement type="secondRow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CU-01'!$B$41:$B$43</f>
            </numRef>
          </cat>
          <val>
            <numRef>
              <f>'COMPROBACION - CU-01'!$C$41:$C$43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CU-02'!$B$41:$B$43</f>
            </numRef>
          </cat>
          <val>
            <numRef>
              <f>'COMPROBACION - CU-02'!$C$41:$C$43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CU-03'!$B$41:$B$43</f>
            </numRef>
          </cat>
          <val>
            <numRef>
              <f>'COMPROBACION - CU-03'!$C$41:$C$43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CU-04'!$B$41:$B$43</f>
            </numRef>
          </cat>
          <val>
            <numRef>
              <f>'COMPROBACION - CU-04'!$C$41:$C$43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CU-05'!$B$41:$B$43</f>
            </numRef>
          </cat>
          <val>
            <numRef>
              <f>'COMPROBACION - CU-05'!$C$41:$C$43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CU-06'!$B$41:$B$43</f>
            </numRef>
          </cat>
          <val>
            <numRef>
              <f>'COMPROBACION - CU-06'!$C$41:$C$43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CU-07'!$B$41:$B$43</f>
            </numRef>
          </cat>
          <val>
            <numRef>
              <f>'COMPROBACION - CU-07'!$C$41:$C$43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CU-08'!$B$41:$B$43</f>
            </numRef>
          </cat>
          <val>
            <numRef>
              <f>'COMPROBACION - CU-08'!$C$41:$C$43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CU-09'!$B$41:$B$43</f>
            </numRef>
          </cat>
          <val>
            <numRef>
              <f>'COMPROBACION - CU-09'!$C$41:$C$43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CU-10'!$B$41:$B$43</f>
            </numRef>
          </cat>
          <val>
            <numRef>
              <f>'COMPROBACION - CU-10'!$C$41:$C$43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CU-11'!$B$41:$B$43</f>
            </numRef>
          </cat>
          <val>
            <numRef>
              <f>'COMPROBACION - CU-11'!$C$41:$C$43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CU-12'!$B$41:$B$43</f>
            </numRef>
          </cat>
          <val>
            <numRef>
              <f>'COMPROBACION - CU-12'!$C$41:$C$43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CRITERIO DE CALIDAD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'COMPROBACION - CU-13'!$B$41:$B$43</f>
            </numRef>
          </cat>
          <val>
            <numRef>
              <f>'COMPROBACION - CU-13'!$C$41:$C$43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G5-SGC</author>
  </authors>
  <commentList>
    <comment ref="E7" authorId="0" shapeId="0">
      <text>
        <t>Control del nivel de acuerdo entre las partes Cliente y Desarrollador</t>
      </text>
    </comment>
    <comment ref="G7" authorId="0" shapeId="0">
      <text>
        <t>Control del nivel de acuerdo entre las partes Cliente y Desarrollador</t>
      </text>
    </comment>
    <comment ref="I7" authorId="0" shapeId="0">
      <text>
        <t>Control del nivel de acuerdo entre las partes Cliente y Desarrollador</t>
      </text>
    </comment>
    <comment ref="K7" authorId="0" shapeId="0">
      <text>
        <t>Control del nivel de acuerdo entre las partes Cliente y Desarrollador</t>
      </text>
    </comment>
    <comment ref="M7" authorId="0" shapeId="0">
      <text>
        <t>Control del nivel de acuerdo entre las partes Cliente y Desarrollador</t>
      </text>
    </comment>
    <comment ref="O7" authorId="0" shapeId="0">
      <text>
        <t>Control del nivel de acuerdo entre las partes Cliente y Desarrollador</t>
      </text>
    </comment>
    <comment ref="Q7" authorId="0" shapeId="0">
      <text>
        <t>Control del nivel de acuerdo entre las partes Cliente y Desarrollador</t>
      </text>
    </comment>
    <comment ref="S7" authorId="0" shapeId="0">
      <text>
        <t>Control del nivel de acuerdo entre las partes Cliente y Desarrollador</t>
      </text>
    </comment>
    <comment ref="U7" authorId="0" shapeId="0">
      <text>
        <t>Control del nivel de acuerdo entre las partes Cliente y Desarrollador</t>
      </text>
    </comment>
    <comment ref="W7" authorId="0" shapeId="0">
      <text>
        <t>Control del nivel de acuerdo entre las partes Cliente y Desarrollador</t>
      </text>
    </comment>
    <comment ref="Y7" authorId="0" shapeId="0">
      <text>
        <t>Control del nivel de acuerdo entre las partes Cliente y Desarrollador</t>
      </text>
    </comment>
    <comment ref="AA7" authorId="0" shapeId="0">
      <text>
        <t>Control del nivel de acuerdo entre las partes Cliente y Desarrollador</t>
      </text>
    </comment>
    <comment ref="AC7" authorId="0" shapeId="0">
      <text>
        <t>Control del nivel de acuerdo entre las partes Cliente y Desarrollador</t>
      </text>
    </comment>
    <comment ref="C9" authorId="0" shapeId="0">
      <text>
        <t>Todos los interesados reconocen que el requisito es correcto y relevante</t>
      </text>
    </comment>
    <comment ref="C10" authorId="0" shapeId="0">
      <text>
        <t>Ponderado por importancia o prioridad</t>
      </text>
    </comment>
    <comment ref="C11" authorId="0" shapeId="0">
      <text>
        <t>Todos los lectores comprenden de la misma manera, sólo una interpretación</t>
      </text>
    </comment>
    <comment ref="C12" authorId="0" shapeId="0">
      <text>
        <t>Toda nueva información ha sido incorporada</t>
      </text>
    </comment>
    <comment ref="C13" authorId="0" shapeId="0">
      <text>
        <t>Refleja las expectativas del implicado</t>
      </text>
    </comment>
    <comment ref="C14" authorId="0" shapeId="0">
      <text>
        <t>Sin contradicciones</t>
      </text>
    </comment>
    <comment ref="C15" authorId="0" shapeId="0">
      <text>
        <t>Su cumplimiento o no cumplimiento puede ser probado con un esfuerzo razonable</t>
      </text>
    </comment>
    <comment ref="C16" authorId="0" shapeId="0">
      <text>
        <t>Puede ser implementado y desarrollado en las condiciones actuales(tiempo, presupuesto, organización, etc)</t>
      </text>
    </comment>
    <comment ref="C17" authorId="0" shapeId="0">
      <text>
        <t>El origen del requisito y sus relaciones con otros requisitos están claros.</t>
      </text>
    </comment>
    <comment ref="C18" authorId="0" shapeId="0">
      <text>
        <t>Trata todos los asuntos relevantes</t>
      </text>
    </comment>
    <comment ref="C19" authorId="0" shapeId="0">
      <text>
        <t>Para todos los interesados dependiendo de la fase del proyecto podrían estar involucrados distintos implicados,(Glosario de términos)</t>
      </text>
    </comment>
  </commentList>
</comments>
</file>

<file path=xl/comments/comment2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3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4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5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6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7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8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9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10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11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12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13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comments/comment14.xml><?xml version="1.0" encoding="utf-8"?>
<comments xmlns="http://schemas.openxmlformats.org/spreadsheetml/2006/main">
  <authors>
    <author>G5-SGC</author>
  </authors>
  <commentList>
    <comment ref="B8" authorId="0" shapeId="0">
      <text>
        <t>ESPE:
COMPLETITUD DOCUMENTO</t>
      </text>
    </comment>
    <comment ref="B9" authorId="0" shapeId="0">
      <text>
        <t xml:space="preserve">ESPE:
COMPLETITUD REQUISITO INDIVIDUAL
</t>
      </text>
    </comment>
    <comment ref="B10" authorId="0" shapeId="0">
      <text>
        <t>ESPE:
TRAZABILIDAD</t>
      </text>
    </comment>
    <comment ref="B11" authorId="0" shapeId="0">
      <text>
        <t xml:space="preserve">ESPE:
trazabilidad
</t>
      </text>
    </comment>
    <comment ref="B12" authorId="0" shapeId="0">
      <text>
        <t xml:space="preserve">ESPE:
TRAZABILIDAD
</t>
      </text>
    </comment>
    <comment ref="B13" authorId="0" shapeId="0">
      <text>
        <t xml:space="preserve">ESPE:
CORRECCION
</t>
      </text>
    </comment>
    <comment ref="B14" authorId="0" shapeId="0">
      <text>
        <t>ESPE:
CONSISTENCIA</t>
      </text>
    </comment>
    <comment ref="B15" authorId="0" shapeId="0">
      <text>
        <t xml:space="preserve">ESPE:
NECESIDAD
</t>
      </text>
    </comment>
    <comment ref="B16" authorId="0" shapeId="0">
      <text>
        <t xml:space="preserve">ESPE:
verificable 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D19"/>
  <sheetViews>
    <sheetView workbookViewId="0">
      <selection activeCell="A1" sqref="A1"/>
    </sheetView>
  </sheetViews>
  <sheetFormatPr baseColWidth="8" defaultRowHeight="15"/>
  <cols>
    <col width="4.57" customWidth="1" style="64" min="1" max="1"/>
    <col width="4.43" customWidth="1" style="64" min="2" max="2"/>
    <col width="3.71" customWidth="1" style="64" min="3" max="3"/>
    <col width="34.86" customWidth="1" style="64" min="4" max="4"/>
    <col width="10.14" customWidth="1" style="64" min="5" max="5"/>
    <col width="42.71" customWidth="1" style="64" min="6" max="6"/>
    <col width="10.14" customWidth="1" style="64" min="7" max="7"/>
    <col width="42.71" customWidth="1" style="64" min="8" max="8"/>
    <col width="10.14" customWidth="1" style="64" min="9" max="9"/>
    <col width="42.71" customWidth="1" style="64" min="10" max="10"/>
    <col width="10.14" customWidth="1" style="64" min="11" max="11"/>
    <col width="42.71" customWidth="1" style="64" min="12" max="12"/>
    <col width="10.14" customWidth="1" style="64" min="13" max="13"/>
    <col width="42.71" customWidth="1" style="64" min="14" max="14"/>
    <col width="10.14" customWidth="1" style="64" min="15" max="15"/>
    <col width="42.71" customWidth="1" style="64" min="16" max="16"/>
    <col width="10.14" customWidth="1" style="64" min="17" max="17"/>
    <col width="42.71" customWidth="1" style="64" min="18" max="18"/>
    <col width="10.14" customWidth="1" style="64" min="19" max="19"/>
    <col width="42.71" customWidth="1" style="64" min="20" max="20"/>
    <col width="10.14" customWidth="1" style="64" min="21" max="21"/>
    <col width="42.71" customWidth="1" style="64" min="22" max="22"/>
    <col width="10.14" customWidth="1" style="64" min="23" max="23"/>
    <col width="42.71" customWidth="1" style="64" min="24" max="24"/>
    <col width="10.14" customWidth="1" style="64" min="25" max="25"/>
    <col width="42.71" customWidth="1" style="64" min="26" max="26"/>
    <col width="10.14" customWidth="1" style="64" min="27" max="27"/>
    <col width="42.71" customWidth="1" style="64" min="28" max="28"/>
    <col width="10.14" customWidth="1" style="64" min="29" max="29"/>
    <col width="42.71" customWidth="1" style="64" min="30" max="30"/>
  </cols>
  <sheetData>
    <row r="3" ht="30" customHeight="1" s="64">
      <c r="C3" s="65" t="inlineStr">
        <is>
          <t>MATRIZ PARA COMPROBACIÓN REQUERIMIENTOS DE CALIDAD DE PROYECTO ACADEMICO</t>
        </is>
      </c>
    </row>
    <row r="4" ht="30" customHeight="1" s="64"/>
    <row r="5" ht="30" customHeight="1" s="64">
      <c r="D5" s="66" t="inlineStr">
        <is>
          <t>SISTEMA:</t>
        </is>
      </c>
      <c r="E5" s="66" t="inlineStr">
        <is>
          <t>SISTEMA DE GESTION DE CAMPEONATOS DEPORTIVOS (SGC-CMG)</t>
        </is>
      </c>
    </row>
    <row r="6" ht="55.5" customHeight="1" s="64">
      <c r="E6" s="67" t="inlineStr">
        <is>
          <t>Requerimientos  Funcionales</t>
        </is>
      </c>
    </row>
    <row r="7" ht="45" customHeight="1" s="64">
      <c r="B7" s="68" t="inlineStr">
        <is>
          <t>Nº</t>
        </is>
      </c>
      <c r="C7" s="68" t="inlineStr">
        <is>
          <t>CRITERIOS DE CALIDAD (Documento/Requerimientos)</t>
        </is>
      </c>
      <c r="E7" s="69" t="inlineStr">
        <is>
          <t>Status
Nivel de Acuerdo</t>
        </is>
      </c>
      <c r="F7" s="68" t="inlineStr">
        <is>
          <t xml:space="preserve">
CU-01: Gestionar campeonato
</t>
        </is>
      </c>
      <c r="G7" s="69" t="inlineStr">
        <is>
          <t>Status
Nivel de Acuerdo</t>
        </is>
      </c>
      <c r="H7" s="68" t="inlineStr">
        <is>
          <t xml:space="preserve">
CU-02: Registrar equipos y jugadores
</t>
        </is>
      </c>
      <c r="I7" s="69" t="inlineStr">
        <is>
          <t>Status
Nivel de Acuerdo</t>
        </is>
      </c>
      <c r="J7" s="68" t="inlineStr">
        <is>
          <t xml:space="preserve">
CU-03: Planificar jornadas
</t>
        </is>
      </c>
      <c r="K7" s="69" t="inlineStr">
        <is>
          <t>Status
Nivel de Acuerdo</t>
        </is>
      </c>
      <c r="L7" s="68" t="inlineStr">
        <is>
          <t xml:space="preserve">
CU-04: Gestionar tabla de posiciones
</t>
        </is>
      </c>
      <c r="M7" s="69" t="inlineStr">
        <is>
          <t>Status
Nivel de Acuerdo</t>
        </is>
      </c>
      <c r="N7" s="68" t="inlineStr">
        <is>
          <t xml:space="preserve">
CU-05: Controlar pagos y multas
</t>
        </is>
      </c>
      <c r="O7" s="69" t="inlineStr">
        <is>
          <t>Status
Nivel de Acuerdo</t>
        </is>
      </c>
      <c r="P7" s="68" t="inlineStr">
        <is>
          <t xml:space="preserve">
CU-06: Vocalía digital en cancha
</t>
        </is>
      </c>
      <c r="Q7" s="69" t="inlineStr">
        <is>
          <t>Status
Nivel de Acuerdo</t>
        </is>
      </c>
      <c r="R7" s="68" t="inlineStr">
        <is>
          <t xml:space="preserve">
CU-07: Gestionar sanciones
</t>
        </is>
      </c>
      <c r="S7" s="69" t="inlineStr">
        <is>
          <t>Status
Nivel de Acuerdo</t>
        </is>
      </c>
      <c r="T7" s="68" t="inlineStr">
        <is>
          <t xml:space="preserve">
CU-08: Generar reportes
</t>
        </is>
      </c>
      <c r="U7" s="69" t="inlineStr">
        <is>
          <t>Status
Nivel de Acuerdo</t>
        </is>
      </c>
      <c r="V7" s="68" t="inlineStr">
        <is>
          <t xml:space="preserve">
CU-09: Gestionar acceso y seguridad
</t>
        </is>
      </c>
      <c r="W7" s="69" t="inlineStr">
        <is>
          <t>Status
Nivel de Acuerdo</t>
        </is>
      </c>
      <c r="X7" s="68" t="inlineStr">
        <is>
          <t xml:space="preserve">
CU-10: Consultar información campeonato
</t>
        </is>
      </c>
      <c r="Y7" s="69" t="inlineStr">
        <is>
          <t>Status
Nivel de Acuerdo</t>
        </is>
      </c>
      <c r="Z7" s="68" t="inlineStr">
        <is>
          <t xml:space="preserve">
CU-11: Gestionar cuerpo de árbitros
</t>
        </is>
      </c>
      <c r="AA7" s="69" t="inlineStr">
        <is>
          <t>Status
Nivel de Acuerdo</t>
        </is>
      </c>
      <c r="AB7" s="68" t="inlineStr">
        <is>
          <t xml:space="preserve">
CU-12: Gestionar usuarios del sistema
</t>
        </is>
      </c>
      <c r="AC7" s="69" t="inlineStr">
        <is>
          <t>Status
Nivel de Acuerdo</t>
        </is>
      </c>
      <c r="AD7" s="68" t="inlineStr">
        <is>
          <t xml:space="preserve">
CU-13: Cerrar campeonato y premiación
</t>
        </is>
      </c>
    </row>
    <row r="8" ht="60" customHeight="1" s="64"/>
    <row r="9" ht="55" customHeight="1" s="64">
      <c r="B9" s="70" t="n">
        <v>1</v>
      </c>
      <c r="C9" s="70" t="inlineStr">
        <is>
          <t>Agreed</t>
        </is>
      </c>
      <c r="E9" s="71" t="inlineStr">
        <is>
          <t>OK</t>
        </is>
      </c>
      <c r="F9" s="72" t="inlineStr">
        <is>
          <t>1. Videoconferencia de entrevista con propietario CMG
2. Minuta de la entrevista aprobada
3. Aceptación del requisito mediante videoconferencia</t>
        </is>
      </c>
      <c r="G9" s="71" t="inlineStr">
        <is>
          <t>OK</t>
        </is>
      </c>
      <c r="H9" s="72" t="inlineStr">
        <is>
          <t>1. Videoconferencia de entrevista con propietario CMG
2. Minuta de la entrevista aprobada
3. Confirmado por encuesta a jugadores</t>
        </is>
      </c>
      <c r="I9" s="71" t="inlineStr">
        <is>
          <t>OK</t>
        </is>
      </c>
      <c r="J9" s="72" t="inlineStr">
        <is>
          <t>1. Videoconferencia de entrevista con propietario CMG
2. Minuta de la entrevista aprobada
3. Cliente validó la necesidad de fixture automatizado</t>
        </is>
      </c>
      <c r="K9" s="71" t="inlineStr">
        <is>
          <t>OK</t>
        </is>
      </c>
      <c r="L9" s="72" t="inlineStr">
        <is>
          <t>1. Videoconferencia de entrevista con propietario CMG
2. Minuta de la entrevista aprobada
3. Encuesta a jugadores confirma necesidad de consulta en tiempo real</t>
        </is>
      </c>
      <c r="M9" s="71" t="inlineStr">
        <is>
          <t>OK</t>
        </is>
      </c>
      <c r="N9" s="72" t="inlineStr">
        <is>
          <t>1. Videoconferencia de entrevista con propietario CMG
2. Minuta de la entrevista aprobada
3. Cliente identificó gestión de pagos manuales como problema crítico</t>
        </is>
      </c>
      <c r="O9" s="71" t="inlineStr">
        <is>
          <t>OK</t>
        </is>
      </c>
      <c r="P9" s="72" t="inlineStr">
        <is>
          <t>1. Videoconferencia de entrevista con propietario CMG
2. Minuta de la entrevista aprobada
3. Cliente validó necesidad de registro digital en cancha</t>
        </is>
      </c>
      <c r="Q9" s="71" t="inlineStr">
        <is>
          <t>OK</t>
        </is>
      </c>
      <c r="R9" s="72" t="inlineStr">
        <is>
          <t>1. Videoconferencia de entrevista con propietario CMG
2. Minuta de la entrevista aprobada
3. Cliente identificó sanciones disciplinarias como proceso manual problemático</t>
        </is>
      </c>
      <c r="S9" s="71" t="inlineStr">
        <is>
          <t>OK</t>
        </is>
      </c>
      <c r="T9" s="72" t="inlineStr">
        <is>
          <t>1. Videoconferencia de entrevista con propietario CMG
2. Minuta de la entrevista aprobada
3. Cliente identificó necesidad de reportes para toma de decisiones gerenciales</t>
        </is>
      </c>
      <c r="U9" s="71" t="inlineStr">
        <is>
          <t>OK</t>
        </is>
      </c>
      <c r="V9" s="72" t="inlineStr">
        <is>
          <t>1. Videoconferencia de entrevista con propietario CMG
2. Minuta de la entrevista aprobada
3. Cliente estableció que solo administrador y vocal autorizado deben tener permisos de modificación</t>
        </is>
      </c>
      <c r="W9" s="71" t="inlineStr">
        <is>
          <t>OK</t>
        </is>
      </c>
      <c r="X9" s="72" t="inlineStr">
        <is>
          <t>1. Videoconferencia de entrevista con propietario CMG
2. Minuta de la entrevista aprobada
3. Encuesta confirma que capitanes y jugadores requieren consulta en tiempo real</t>
        </is>
      </c>
      <c r="Y9" s="71" t="inlineStr">
        <is>
          <t>OK</t>
        </is>
      </c>
      <c r="Z9" s="72" t="inlineStr">
        <is>
          <t>1. Videoconferencia de entrevista con propietario CMG
2. Minuta de la entrevista aprobada
3. Cliente identificó gestión de árbitros como proceso crítico</t>
        </is>
      </c>
      <c r="AA9" s="71" t="inlineStr">
        <is>
          <t>OK</t>
        </is>
      </c>
      <c r="AB9" s="72" t="inlineStr">
        <is>
          <t>1. Videoconferencia de entrevista con propietario CMG
2. Minuta de la entrevista aprobada
3. Cliente estableció la necesidad de perfiles diferenciados por rol</t>
        </is>
      </c>
      <c r="AC9" s="71" t="inlineStr">
        <is>
          <t>OK</t>
        </is>
      </c>
      <c r="AD9" s="72" t="inlineStr">
        <is>
          <t>1. Videoconferencia de entrevista con propietario CMG
2. Minuta de la entrevista aprobada
3. Cliente validó necesidad de proceso formal de cierre y premiación</t>
        </is>
      </c>
    </row>
    <row r="10" ht="55" customHeight="1" s="64">
      <c r="B10" s="70" t="n">
        <v>2</v>
      </c>
      <c r="C10" s="70" t="inlineStr">
        <is>
          <t>Ranked</t>
        </is>
      </c>
      <c r="E10" s="71" t="inlineStr">
        <is>
          <t>OK</t>
        </is>
      </c>
      <c r="F10" s="72" t="inlineStr">
        <is>
          <t>1. En la descripción del caso de uso se especifica prioridad Must Have
2. Identificado como RF crítico en sección 3.2.1 del SRS</t>
        </is>
      </c>
      <c r="G10" s="71" t="inlineStr">
        <is>
          <t>OK</t>
        </is>
      </c>
      <c r="H10" s="72" t="inlineStr">
        <is>
          <t>1. En la descripción del caso de uso se especifica prioridad Must Have
2. Identificado como RF crítico en sección 3.2.2 del SRS</t>
        </is>
      </c>
      <c r="I10" s="71" t="inlineStr">
        <is>
          <t>OK</t>
        </is>
      </c>
      <c r="J10" s="72" t="inlineStr">
        <is>
          <t>1. En la descripción del caso de uso se especifica prioridad Must Have
2. Identificado como proceso crítico en sección 3.2.3 del SRS</t>
        </is>
      </c>
      <c r="K10" s="71" t="inlineStr">
        <is>
          <t>OK</t>
        </is>
      </c>
      <c r="L10" s="72" t="inlineStr">
        <is>
          <t>1. En la descripción del caso de uso se especifica prioridad Must Have
2. Identificado en sección 3.2.4 del SRS como funcionalidad crítica</t>
        </is>
      </c>
      <c r="M10" s="71" t="inlineStr">
        <is>
          <t>OK</t>
        </is>
      </c>
      <c r="N10" s="72" t="inlineStr">
        <is>
          <t>1. En la descripción del caso de uso se especifica prioridad Must Have
2. Identificado en sección 3.2.5 del SRS como módulo financiero esencial</t>
        </is>
      </c>
      <c r="O10" s="71" t="inlineStr">
        <is>
          <t>OK</t>
        </is>
      </c>
      <c r="P10" s="72" t="inlineStr">
        <is>
          <t>1. En la descripción del caso de uso se especifica prioridad Must Have
2. Identificado como núcleo operativo en sección 3.2.6 del SRS</t>
        </is>
      </c>
      <c r="Q10" s="71" t="inlineStr">
        <is>
          <t>OK</t>
        </is>
      </c>
      <c r="R10" s="72" t="inlineStr">
        <is>
          <t>1. En la descripción del caso de uso se especifica prioridad Must Have
2. Identificado en sección 3.2.7 del SRS como funcionalidad reglamentaria esencial</t>
        </is>
      </c>
      <c r="S10" s="71" t="inlineStr">
        <is>
          <t>OK</t>
        </is>
      </c>
      <c r="T10" s="72" t="inlineStr">
        <is>
          <t>1. En la descripción del caso de uso se especifica prioridad Should Have
2. Identificado en sección 3.2.8 del SRS como módulo gerencial</t>
        </is>
      </c>
      <c r="U10" s="71" t="inlineStr">
        <is>
          <t>OK</t>
        </is>
      </c>
      <c r="V10" s="72" t="inlineStr">
        <is>
          <t>1. En la descripción del caso de uso se especifica prioridad Must Have
2. Identificado en sección 3.2.9 del SRS como requisito de seguridad crítico</t>
        </is>
      </c>
      <c r="W10" s="71" t="inlineStr">
        <is>
          <t>OK</t>
        </is>
      </c>
      <c r="X10" s="72" t="inlineStr">
        <is>
          <t>1. En la descripción del caso de uso se especifica prioridad Should Have
2. Identificado en sección 3.2.10 del SRS como módulo de consulta pública</t>
        </is>
      </c>
      <c r="Y10" s="71" t="inlineStr">
        <is>
          <t>OK</t>
        </is>
      </c>
      <c r="Z10" s="72" t="inlineStr">
        <is>
          <t>1. En la descripción del caso de uso se especifica prioridad Must Have
2. Identificado en sección 3.2.11 del SRS como funcionalidad operativa esencial</t>
        </is>
      </c>
      <c r="AA10" s="71" t="inlineStr">
        <is>
          <t>OK</t>
        </is>
      </c>
      <c r="AB10" s="72" t="inlineStr">
        <is>
          <t>1. En la descripción del caso de uso se especifica prioridad Must Have
2. Identificado en sección 3.2.12 del SRS como requisito de administración de usuarios</t>
        </is>
      </c>
      <c r="AC10" s="71" t="inlineStr">
        <is>
          <t>OK</t>
        </is>
      </c>
      <c r="AD10" s="72" t="inlineStr">
        <is>
          <t>1. En la descripción del caso de uso se especifica prioridad Must Have
2. Identificado en sección 3.2.13 del SRS como funcionalidad de cierre del ciclo deportivo</t>
        </is>
      </c>
    </row>
    <row r="11" ht="55" customHeight="1" s="64">
      <c r="B11" s="70" t="n">
        <v>3</v>
      </c>
      <c r="C11" s="70" t="inlineStr">
        <is>
          <t>Unambiguos</t>
        </is>
      </c>
      <c r="E11" s="71" t="inlineStr">
        <is>
          <t>OK</t>
        </is>
      </c>
      <c r="F11" s="72" t="inlineStr">
        <is>
          <t>1. Redacción en lenguaje claro, un verbo por frase
2. El tutor y el equipo interpretan de igual manera el caso de uso</t>
        </is>
      </c>
      <c r="G11" s="71" t="inlineStr">
        <is>
          <t>OK</t>
        </is>
      </c>
      <c r="H11" s="72" t="inlineStr">
        <is>
          <t>1. Redacción clara con términos definidos (QR, JPG, PDF)
2. El glosario de términos respalda la nomenclatura usada</t>
        </is>
      </c>
      <c r="I11" s="71" t="inlineStr">
        <is>
          <t>OK</t>
        </is>
      </c>
      <c r="J11" s="72" t="inlineStr">
        <is>
          <t>1. Redacción clara: algoritmo Round Robin definido en glosario
2. Un único significado para todos los lectores</t>
        </is>
      </c>
      <c r="K11" s="71" t="inlineStr">
        <is>
          <t>OK</t>
        </is>
      </c>
      <c r="L11" s="72" t="inlineStr">
        <is>
          <t>1. Redacción clara: cálculo automático de puntos y diferencia de goles
2. Criterios de desempate documentados sin ambigüedad</t>
        </is>
      </c>
      <c r="M11" s="71" t="inlineStr">
        <is>
          <t>OK</t>
        </is>
      </c>
      <c r="N11" s="72" t="inlineStr">
        <is>
          <t>1. Redacción clara: montos, métodos de pago y estados definidos sin ambigüedad
2. Glosario define términos: inscripción, multa, abono, recibo</t>
        </is>
      </c>
      <c r="O11" s="71" t="inlineStr">
        <is>
          <t>OK</t>
        </is>
      </c>
      <c r="P11" s="72" t="inlineStr">
        <is>
          <t>1. Redacción clara: escaneo QR, registro offline e IndexedDB definidos en glosario
2. Flujo de sincronización descrito sin ambigüedad</t>
        </is>
      </c>
      <c r="Q11" s="71" t="inlineStr">
        <is>
          <t>OK</t>
        </is>
      </c>
      <c r="R11" s="72" t="inlineStr">
        <is>
          <t>1. Redacción clara: reglas de acumulación de tarjetas definidas sin ambigüedad
2. Términos de sanción y suspensión definidos en el glosario</t>
        </is>
      </c>
      <c r="S11" s="71" t="inlineStr">
        <is>
          <t>OK</t>
        </is>
      </c>
      <c r="T11" s="72" t="inlineStr">
        <is>
          <t>1. Redacción clara: tipos de reportes (operativos, financieros, deportivos) definidos
2. Sin ambigüedad en las categorías de reporte</t>
        </is>
      </c>
      <c r="U11" s="71" t="inlineStr">
        <is>
          <t>OK</t>
        </is>
      </c>
      <c r="V11" s="72" t="inlineStr">
        <is>
          <t>1. Redacción clara: roles y permisos definidos sin ambigüedad (RBAC)
2. Términos: Administrador, Vocal, Árbitro, Capitán y Jugador definidos en glosario</t>
        </is>
      </c>
      <c r="W11" s="71" t="inlineStr">
        <is>
          <t>OK</t>
        </is>
      </c>
      <c r="X11" s="72" t="inlineStr">
        <is>
          <t>1. Redacción clara: tipo de información consultable definida sin ambigüedad
2. Glosario respalda términos (fixture, posiciones, estadísticas)</t>
        </is>
      </c>
      <c r="Y11" s="71" t="inlineStr">
        <is>
          <t>OK</t>
        </is>
      </c>
      <c r="Z11" s="72" t="inlineStr">
        <is>
          <t>1. Redacción clara: disponibilidad, honorarios y asignación definidos sin ambigüedad
2. Términos del glosario respaldados</t>
        </is>
      </c>
      <c r="AA11" s="71" t="inlineStr">
        <is>
          <t>OK</t>
        </is>
      </c>
      <c r="AB11" s="72" t="inlineStr">
        <is>
          <t>1. Redacción clara: perfiles de usuario (5 roles) definidos sin ambigüedad
2. Cada rol con sus permisos y responsabilidades específicas documentadas</t>
        </is>
      </c>
      <c r="AC11" s="71" t="inlineStr">
        <is>
          <t>OK</t>
        </is>
      </c>
      <c r="AD11" s="72" t="inlineStr">
        <is>
          <t>1. Redacción clara: proceso de cierre, ganadores y premiación definidos sin ambigüedad
2. Términos en el glosario</t>
        </is>
      </c>
    </row>
    <row r="12" ht="55" customHeight="1" s="64">
      <c r="B12" s="70" t="n">
        <v>4</v>
      </c>
      <c r="C12" s="70" t="inlineStr">
        <is>
          <t>Valid and up-to date</t>
        </is>
      </c>
      <c r="E12" s="71" t="inlineStr">
        <is>
          <t>OK</t>
        </is>
      </c>
      <c r="F12" s="72" t="inlineStr">
        <is>
          <t>1. Toda nueva información ha sido incorporada tras el feedback del cliente
2. Última actualización refleja cambios del propietario del complejo</t>
        </is>
      </c>
      <c r="G12" s="71" t="inlineStr">
        <is>
          <t>OK</t>
        </is>
      </c>
      <c r="H12" s="72" t="inlineStr">
        <is>
          <t>1. Información actualizada incorporando generación de QR y validación documental
2. Refleja cambios del feedback del cliente sobre carnets digitales</t>
        </is>
      </c>
      <c r="I12" s="71" t="inlineStr">
        <is>
          <t>OK</t>
        </is>
      </c>
      <c r="J12" s="72" t="inlineStr">
        <is>
          <t>1. Información actualizada con asignación manual de horarios y árbitros
2. Refleja necesidad operativa actual del complejo (una sola cancha)</t>
        </is>
      </c>
      <c r="K12" s="71" t="inlineStr">
        <is>
          <t>OK</t>
        </is>
      </c>
      <c r="L12" s="72" t="inlineStr">
        <is>
          <t>1. Información actualizada: incluye criterios de desempate y publicación en tiempo real
2. Refleja feedback del cliente sobre actualización automática</t>
        </is>
      </c>
      <c r="M12" s="71" t="inlineStr">
        <is>
          <t>OK</t>
        </is>
      </c>
      <c r="N12" s="72" t="inlineStr">
        <is>
          <t>1. Información actualizada: incluye control de deudas y restricción automática
2. Refleja feedback del cliente sobre control de plantillas con deuda</t>
        </is>
      </c>
      <c r="O12" s="71" t="inlineStr">
        <is>
          <t>OK</t>
        </is>
      </c>
      <c r="P12" s="72" t="inlineStr">
        <is>
          <t>1. Información actualizada: incluye modo offline con Service Workers e IndexedDB
2. Refleja necesidad de disponibilidad en entornos sin internet</t>
        </is>
      </c>
      <c r="Q12" s="71" t="inlineStr">
        <is>
          <t>OK</t>
        </is>
      </c>
      <c r="R12" s="72" t="inlineStr">
        <is>
          <t>1. Información actualizada: incluye aplicación automática según tarjetas acumuladas
2. Refleja feedback del cliente sobre gestión de sanciones deportivas</t>
        </is>
      </c>
      <c r="S12" s="71" t="inlineStr">
        <is>
          <t>OK</t>
        </is>
      </c>
      <c r="T12" s="72" t="inlineStr">
        <is>
          <t>1. Información actualizada: incluye estadísticas deportivas y alertas automáticas
2. Refleja necesidad identificada en la entrevista de gestión gerencial</t>
        </is>
      </c>
      <c r="U12" s="71" t="inlineStr">
        <is>
          <t>OK</t>
        </is>
      </c>
      <c r="V12" s="72" t="inlineStr">
        <is>
          <t>1. Información actualizada: incluye control de acceso basado en roles según LOPDP
2. Refleja restricciones legales ecuatorianas vigentes</t>
        </is>
      </c>
      <c r="W12" s="71" t="inlineStr">
        <is>
          <t>OK</t>
        </is>
      </c>
      <c r="X12" s="72" t="inlineStr">
        <is>
          <t>1. Información actualizada: incluye consulta de fixtures, resultados y tablas en tiempo real
2. Refleja necesidad identificada en encuesta a jugadores</t>
        </is>
      </c>
      <c r="Y12" s="71" t="inlineStr">
        <is>
          <t>OK</t>
        </is>
      </c>
      <c r="Z12" s="72" t="inlineStr">
        <is>
          <t>1. Información actualizada: incluye honorarios por partido y control de disponibilidad
2. Refleja necesidad operativa identificada en la entrevista</t>
        </is>
      </c>
      <c r="AA12" s="71" t="inlineStr">
        <is>
          <t>OK</t>
        </is>
      </c>
      <c r="AB12" s="72" t="inlineStr">
        <is>
          <t>1. Información actualizada: incluye creación, modificación y eliminación de usuarios
2. Refleja necesidad de administración centralizada de accesos</t>
        </is>
      </c>
      <c r="AC12" s="71" t="inlineStr">
        <is>
          <t>OK</t>
        </is>
      </c>
      <c r="AD12" s="72" t="inlineStr">
        <is>
          <t>1. Información actualizada: incluye generación de reportes finales y cierre contable
2. Refleja feedback del cliente sobre proceso de cierre del torneo</t>
        </is>
      </c>
    </row>
    <row r="13" ht="55" customHeight="1" s="64">
      <c r="B13" s="70" t="n">
        <v>5</v>
      </c>
      <c r="C13" s="70" t="inlineStr">
        <is>
          <t>Correct</t>
        </is>
      </c>
      <c r="E13" s="71" t="inlineStr">
        <is>
          <t>OK</t>
        </is>
      </c>
      <c r="F13" s="72" t="inlineStr">
        <is>
          <t>1. Está alineado con los objetivos del sistema (sección 1.2 SRS)
2. Refleja lo que realmente necesita el administrador del complejo</t>
        </is>
      </c>
      <c r="G13" s="71" t="inlineStr">
        <is>
          <t>OK</t>
        </is>
      </c>
      <c r="H13" s="72" t="inlineStr">
        <is>
          <t>1. Refleja expectativa del capitán: registro autónomo de equipos y jugadores
2. Alineado con objetivo del sistema de automatizar inscripción</t>
        </is>
      </c>
      <c r="I13" s="71" t="inlineStr">
        <is>
          <t>OK</t>
        </is>
      </c>
      <c r="J13" s="72" t="inlineStr">
        <is>
          <t>1. Refleja expectativa del administrador: fixture generado automáticamente
2. Alineado con objetivo de eliminar planificación manual</t>
        </is>
      </c>
      <c r="K13" s="71" t="inlineStr">
        <is>
          <t>OK</t>
        </is>
      </c>
      <c r="L13" s="72" t="inlineStr">
        <is>
          <t>1. Refleja expectativa de administradores, capitanes y jugadores
2. Alineado con objetivo de transparencia deportiva</t>
        </is>
      </c>
      <c r="M13" s="71" t="inlineStr">
        <is>
          <t>OK</t>
        </is>
      </c>
      <c r="N13" s="72" t="inlineStr">
        <is>
          <t>1. Refleja expectativa del administrador sobre control financiero ordenado
2. Alineado con objetivo de eliminar hojas de cálculo manuales</t>
        </is>
      </c>
      <c r="O13" s="71" t="inlineStr">
        <is>
          <t>OK</t>
        </is>
      </c>
      <c r="P13" s="72" t="inlineStr">
        <is>
          <t>1. Refleja expectativa del vocal de mesa: eliminación de transcripción manual
2. Alineado con objetivo de reducir error administrativo</t>
        </is>
      </c>
      <c r="Q13" s="71" t="inlineStr">
        <is>
          <t>OK</t>
        </is>
      </c>
      <c r="R13" s="72" t="inlineStr">
        <is>
          <t>1. Refleja expectativa del administrador sobre control disciplinario automático
2. Alineado con reglamento deportivo del complejo</t>
        </is>
      </c>
      <c r="S13" s="71" t="inlineStr">
        <is>
          <t>OK</t>
        </is>
      </c>
      <c r="T13" s="72" t="inlineStr">
        <is>
          <t>1. Refleja expectativa del administrador de tener información consolidada
2. Alineado con objetivo de centralizar información del campeonato</t>
        </is>
      </c>
      <c r="U13" s="71" t="inlineStr">
        <is>
          <t>OK</t>
        </is>
      </c>
      <c r="V13" s="72" t="inlineStr">
        <is>
          <t>1. Refleja expectativa del administrador sobre seguridad y privacidad de datos
2. Alineado con la legislación ecuatoriana (LOPDP y COIP)</t>
        </is>
      </c>
      <c r="W13" s="71" t="inlineStr">
        <is>
          <t>OK</t>
        </is>
      </c>
      <c r="X13" s="72" t="inlineStr">
        <is>
          <t>1. Refleja expectativa de capitanes y jugadores de consultar información sin intermediarios
2. Alineado con objetivo de transparencia del sistema</t>
        </is>
      </c>
      <c r="Y13" s="71" t="inlineStr">
        <is>
          <t>OK</t>
        </is>
      </c>
      <c r="Z13" s="72" t="inlineStr">
        <is>
          <t>1. Refleja expectativa del administrador sobre gestión ordenada de árbitros
2. Alineado con objetivo de planificación automatizada</t>
        </is>
      </c>
      <c r="AA13" s="71" t="inlineStr">
        <is>
          <t>OK</t>
        </is>
      </c>
      <c r="AB13" s="72" t="inlineStr">
        <is>
          <t>1. Refleja expectativa del administrador de gestionar todos los perfiles del sistema
2. Alineado con el objetivo de control de acceso basado en roles</t>
        </is>
      </c>
      <c r="AC13" s="71" t="inlineStr">
        <is>
          <t>OK</t>
        </is>
      </c>
      <c r="AD13" s="72" t="inlineStr">
        <is>
          <t>1. Refleja expectativa del administrador de formalizar el fin del campeonato
2. Alineado con objetivo de ciclo de vida completo del sistema</t>
        </is>
      </c>
    </row>
    <row r="14" ht="55" customHeight="1" s="64">
      <c r="B14" s="70" t="n">
        <v>6</v>
      </c>
      <c r="C14" s="70" t="inlineStr">
        <is>
          <t>Consisten</t>
        </is>
      </c>
      <c r="E14" s="71" t="inlineStr">
        <is>
          <t>OK</t>
        </is>
      </c>
      <c r="F14" s="72" t="inlineStr">
        <is>
          <t>1. Documentación basada en modelos: Diagrama de Casos de Uso
2. Usa términos definidos en el glosario (sección 1.4 SRS)</t>
        </is>
      </c>
      <c r="G14" s="71" t="inlineStr">
        <is>
          <t>OK</t>
        </is>
      </c>
      <c r="H14" s="72" t="inlineStr">
        <is>
          <t>1. Documentación basada en modelos: Diagrama de Casos de Uso
2. Usa términos del glosario uniformemente (Capitán, nómina, QR)</t>
        </is>
      </c>
      <c r="I14" s="71" t="inlineStr">
        <is>
          <t>OK</t>
        </is>
      </c>
      <c r="J14" s="72" t="inlineStr">
        <is>
          <t>1. Consistente con CU-11 (gestión de árbitros) y CU-01 (configuración del campeonato)
2. Usa términos del glosario uniformemente</t>
        </is>
      </c>
      <c r="K14" s="71" t="inlineStr">
        <is>
          <t>OK</t>
        </is>
      </c>
      <c r="L14" s="72" t="inlineStr">
        <is>
          <t>1. Consistente con CU-06 (vocalía digital) y CU-03 (jornadas)
2. Usa términos del glosario uniformemente</t>
        </is>
      </c>
      <c r="M14" s="71" t="inlineStr">
        <is>
          <t>OK</t>
        </is>
      </c>
      <c r="N14" s="72" t="inlineStr">
        <is>
          <t>1. Consistente con CU-02 (restricción por deuda) y CU-06 (bloqueo en cancha)
2. Usa términos del glosario uniformemente</t>
        </is>
      </c>
      <c r="O14" s="71" t="inlineStr">
        <is>
          <t>OK</t>
        </is>
      </c>
      <c r="P14" s="72" t="inlineStr">
        <is>
          <t>1. Consistente con CU-04 (alimenta tabla de posiciones) y CU-07 (genera sanciones)
2. Usa términos del glosario uniformemente</t>
        </is>
      </c>
      <c r="Q14" s="71" t="inlineStr">
        <is>
          <t>OK</t>
        </is>
      </c>
      <c r="R14" s="72" t="inlineStr">
        <is>
          <t>1. Consistente con CU-06 (registro de tarjetas) y CU-02 (estado de habilitación)
2. Usa términos del glosario uniformemente</t>
        </is>
      </c>
      <c r="S14" s="71" t="inlineStr">
        <is>
          <t>OK</t>
        </is>
      </c>
      <c r="T14" s="72" t="inlineStr">
        <is>
          <t>1. Consistente con todos los módulos que generan datos (CU-04, CU-05, CU-07)
2. Usa términos del glosario uniformemente</t>
        </is>
      </c>
      <c r="U14" s="71" t="inlineStr">
        <is>
          <t>OK</t>
        </is>
      </c>
      <c r="V14" s="72" t="inlineStr">
        <is>
          <t>1. Consistente con todos los módulos que requieren autenticación
2. Usa términos RBAC del glosario de manera uniforme</t>
        </is>
      </c>
      <c r="W14" s="71" t="inlineStr">
        <is>
          <t>OK</t>
        </is>
      </c>
      <c r="X14" s="72" t="inlineStr">
        <is>
          <t>1. Consistente con CU-04 (tabla de posiciones) y CU-03 (planificación de jornadas)
2. Usa términos del glosario uniformemente</t>
        </is>
      </c>
      <c r="Y14" s="71" t="inlineStr">
        <is>
          <t>OK</t>
        </is>
      </c>
      <c r="Z14" s="72" t="inlineStr">
        <is>
          <t>1. Consistente con CU-03 (asignación de árbitros en fixture)
2. Usa términos del glosario uniformemente</t>
        </is>
      </c>
      <c r="AA14" s="71" t="inlineStr">
        <is>
          <t>OK</t>
        </is>
      </c>
      <c r="AB14" s="72" t="inlineStr">
        <is>
          <t>1. Consistente con CU-09 (gestión de acceso y seguridad)
2. Usa términos del glosario uniformemente</t>
        </is>
      </c>
      <c r="AC14" s="71" t="inlineStr">
        <is>
          <t>OK</t>
        </is>
      </c>
      <c r="AD14" s="72" t="inlineStr">
        <is>
          <t>1. Consistente con CU-04 (tabla final), CU-05 (cierre financiero) y CU-08 (reportes)
2. Usa términos del glosario uniformemente</t>
        </is>
      </c>
    </row>
    <row r="15" ht="55" customHeight="1" s="64">
      <c r="B15" s="70" t="n">
        <v>7</v>
      </c>
      <c r="C15" s="70" t="inlineStr">
        <is>
          <t>Verifiable</t>
        </is>
      </c>
      <c r="E15" s="73" t="inlineStr">
        <is>
          <t>NOK</t>
        </is>
      </c>
      <c r="F15" s="72" t="inlineStr">
        <is>
          <t>1. Requisito medible
2. Falta Casos de Prueba</t>
        </is>
      </c>
      <c r="G15" s="73" t="inlineStr">
        <is>
          <t>NOK</t>
        </is>
      </c>
      <c r="H15" s="72" t="inlineStr">
        <is>
          <t>1. Requisito medible
2. Falta Casos de Prueba</t>
        </is>
      </c>
      <c r="I15" s="73" t="inlineStr">
        <is>
          <t>NOK</t>
        </is>
      </c>
      <c r="J15" s="72" t="inlineStr">
        <is>
          <t>1. Requisito medible
2. Falta Casos de Prueba</t>
        </is>
      </c>
      <c r="K15" s="73" t="inlineStr">
        <is>
          <t>NOK</t>
        </is>
      </c>
      <c r="L15" s="72" t="inlineStr">
        <is>
          <t>1. Requisito medible
2. Falta Casos de Prueba</t>
        </is>
      </c>
      <c r="M15" s="73" t="inlineStr">
        <is>
          <t>NOK</t>
        </is>
      </c>
      <c r="N15" s="72" t="inlineStr">
        <is>
          <t>1. Requisito medible
2. Falta Casos de Prueba</t>
        </is>
      </c>
      <c r="O15" s="73" t="inlineStr">
        <is>
          <t>NOK</t>
        </is>
      </c>
      <c r="P15" s="72" t="inlineStr">
        <is>
          <t>1. Requisito medible
2. Falta Casos de Prueba</t>
        </is>
      </c>
      <c r="Q15" s="73" t="inlineStr">
        <is>
          <t>NOK</t>
        </is>
      </c>
      <c r="R15" s="72" t="inlineStr">
        <is>
          <t>1. Requisito medible
2. Falta Casos de Prueba</t>
        </is>
      </c>
      <c r="S15" s="73" t="inlineStr">
        <is>
          <t>NOK</t>
        </is>
      </c>
      <c r="T15" s="72" t="inlineStr">
        <is>
          <t>1. Requisito medible
2. Falta Casos de Prueba</t>
        </is>
      </c>
      <c r="U15" s="73" t="inlineStr">
        <is>
          <t>NOK</t>
        </is>
      </c>
      <c r="V15" s="72" t="inlineStr">
        <is>
          <t>1. Requisito medible
2. Falta Casos de Prueba</t>
        </is>
      </c>
      <c r="W15" s="73" t="inlineStr">
        <is>
          <t>NOK</t>
        </is>
      </c>
      <c r="X15" s="72" t="inlineStr">
        <is>
          <t>1. Requisito medible
2. Falta Casos de Prueba</t>
        </is>
      </c>
      <c r="Y15" s="73" t="inlineStr">
        <is>
          <t>NOK</t>
        </is>
      </c>
      <c r="Z15" s="72" t="inlineStr">
        <is>
          <t>1. Requisito medible
2. Falta Casos de Prueba</t>
        </is>
      </c>
      <c r="AA15" s="73" t="inlineStr">
        <is>
          <t>NOK</t>
        </is>
      </c>
      <c r="AB15" s="72" t="inlineStr">
        <is>
          <t>1. Requisito medible
2. Falta Casos de Prueba</t>
        </is>
      </c>
      <c r="AC15" s="73" t="inlineStr">
        <is>
          <t>NOK</t>
        </is>
      </c>
      <c r="AD15" s="72" t="inlineStr">
        <is>
          <t>1. Requisito medible
2. Falta Casos de Prueba</t>
        </is>
      </c>
    </row>
    <row r="16" ht="55" customHeight="1" s="64">
      <c r="B16" s="70" t="n">
        <v>8</v>
      </c>
      <c r="C16" s="70" t="inlineStr">
        <is>
          <t>Realizable</t>
        </is>
      </c>
      <c r="E16" s="71" t="inlineStr">
        <is>
          <t>OK</t>
        </is>
      </c>
      <c r="F16" s="72" t="inlineStr">
        <is>
          <t>1. Funcionalidad contemplada en la estimación del proyecto
2. Implementable con el stack web actual (HTML5, JS, BD relacional)</t>
        </is>
      </c>
      <c r="G16" s="71" t="inlineStr">
        <is>
          <t>OK</t>
        </is>
      </c>
      <c r="H16" s="72" t="inlineStr">
        <is>
          <t>1. Funcionalidad contemplada en la estimación del proyecto
2. Generación de QR es técnicamente viable con librerías actuales</t>
        </is>
      </c>
      <c r="I16" s="71" t="inlineStr">
        <is>
          <t>OK</t>
        </is>
      </c>
      <c r="J16" s="72" t="inlineStr">
        <is>
          <t>1. Funcionalidad contemplada en la estimación del proyecto
2. Algoritmo Round Robin es estándar implementable</t>
        </is>
      </c>
      <c r="K16" s="71" t="inlineStr">
        <is>
          <t>OK</t>
        </is>
      </c>
      <c r="L16" s="72" t="inlineStr">
        <is>
          <t>1. Funcionalidad contemplada en la estimación del proyecto
2. Cálculo automático de posiciones es implementable con SQL estándar</t>
        </is>
      </c>
      <c r="M16" s="71" t="inlineStr">
        <is>
          <t>OK</t>
        </is>
      </c>
      <c r="N16" s="72" t="inlineStr">
        <is>
          <t>1. Funcionalidad contemplada en la estimación del proyecto
2. Control contable básico es implementable con BD relacional</t>
        </is>
      </c>
      <c r="O16" s="71" t="inlineStr">
        <is>
          <t>OK</t>
        </is>
      </c>
      <c r="P16" s="72" t="inlineStr">
        <is>
          <t>1. Funcionalidad contemplada en la estimación del proyecto
2. Implementable con PWA, Service Workers e IndexedDB en dispositivos móviles</t>
        </is>
      </c>
      <c r="Q16" s="71" t="inlineStr">
        <is>
          <t>OK</t>
        </is>
      </c>
      <c r="R16" s="72" t="inlineStr">
        <is>
          <t>1. Funcionalidad contemplada en la estimación del proyecto
2. Lógica de acumulación de tarjetas implementable con reglas de negocio en BD</t>
        </is>
      </c>
      <c r="S16" s="71" t="inlineStr">
        <is>
          <t>OK</t>
        </is>
      </c>
      <c r="T16" s="72" t="inlineStr">
        <is>
          <t>1. Funcionalidad contemplada en la estimación del proyecto
2. Generación de reportes implementable con SQL y exportación a PDF/Excel</t>
        </is>
      </c>
      <c r="U16" s="71" t="inlineStr">
        <is>
          <t>OK</t>
        </is>
      </c>
      <c r="V16" s="72" t="inlineStr">
        <is>
          <t>1. Funcionalidad contemplada en la estimación del proyecto
2. Control de acceso basado en roles (RBAC) es implementable con JWT estándar</t>
        </is>
      </c>
      <c r="W16" s="71" t="inlineStr">
        <is>
          <t>OK</t>
        </is>
      </c>
      <c r="X16" s="72" t="inlineStr">
        <is>
          <t>1. Funcionalidad contemplada en la estimación del proyecto
2. Consulta web pública es implementable con el stack tecnológico actual</t>
        </is>
      </c>
      <c r="Y16" s="71" t="inlineStr">
        <is>
          <t>OK</t>
        </is>
      </c>
      <c r="Z16" s="72" t="inlineStr">
        <is>
          <t>1. Funcionalidad contemplada en la estimación del proyecto
2. Gestión de personal es implementable con BD relacional estándar</t>
        </is>
      </c>
      <c r="AA16" s="71" t="inlineStr">
        <is>
          <t>OK</t>
        </is>
      </c>
      <c r="AB16" s="72" t="inlineStr">
        <is>
          <t>1. Funcionalidad contemplada en la estimación del proyecto
2. CRUD de usuarios es implementable con cualquier framework web estándar</t>
        </is>
      </c>
      <c r="AC16" s="71" t="inlineStr">
        <is>
          <t>OK</t>
        </is>
      </c>
      <c r="AD16" s="72" t="inlineStr">
        <is>
          <t>1. Funcionalidad contemplada en la estimación del proyecto
2. Proceso de cierre implementable con cambio de estado en BD y generación de reportes</t>
        </is>
      </c>
    </row>
    <row r="17" ht="55" customHeight="1" s="64">
      <c r="B17" s="70" t="n">
        <v>9</v>
      </c>
      <c r="C17" s="70" t="inlineStr">
        <is>
          <t>Traceable</t>
        </is>
      </c>
      <c r="E17" s="71" t="inlineStr">
        <is>
          <t>OK</t>
        </is>
      </c>
      <c r="F17" s="72" t="inlineStr">
        <is>
          <t>1. Identificador único: CU-01 referenciado como SRS-001
2. Origen claro: entrevista con propietario CMG y sección 3.2.1 del SRS</t>
        </is>
      </c>
      <c r="G17" s="71" t="inlineStr">
        <is>
          <t>OK</t>
        </is>
      </c>
      <c r="H17" s="72" t="inlineStr">
        <is>
          <t>1. Identificador único: CU-02 referenciado como SRS-001
2. Origen claro: entrevista (proceso de inscripción) y encuesta</t>
        </is>
      </c>
      <c r="I17" s="71" t="inlineStr">
        <is>
          <t>OK</t>
        </is>
      </c>
      <c r="J17" s="72" t="inlineStr">
        <is>
          <t>1. Identificador único: CU-03 referenciado como SRS-001
2. Vinculado a CU-01, CU-11 y sección 3.2.3 del SRS</t>
        </is>
      </c>
      <c r="K17" s="71" t="inlineStr">
        <is>
          <t>OK</t>
        </is>
      </c>
      <c r="L17" s="72" t="inlineStr">
        <is>
          <t>1. Identificador único: CU-04 referenciado en SRS
2. Vinculado a CU-06 y sección 3.2.4 del SRS</t>
        </is>
      </c>
      <c r="M17" s="71" t="inlineStr">
        <is>
          <t>OK</t>
        </is>
      </c>
      <c r="N17" s="72" t="inlineStr">
        <is>
          <t>1. Identificador único: CU-05 referenciado en SRS
2. Vinculado a CU-02, CU-06 y sección 3.2.5 del SRS</t>
        </is>
      </c>
      <c r="O17" s="71" t="inlineStr">
        <is>
          <t>OK</t>
        </is>
      </c>
      <c r="P17" s="72" t="inlineStr">
        <is>
          <t>1. Identificador único: CU-06 referenciado en SRS
2. Vinculado a CU-04, CU-07 y sección 3.2.6 del SRS</t>
        </is>
      </c>
      <c r="Q17" s="71" t="inlineStr">
        <is>
          <t>OK</t>
        </is>
      </c>
      <c r="R17" s="72" t="inlineStr">
        <is>
          <t>1. Identificador único: CU-07 referenciado en SRS
2. Vinculado a CU-06, CU-02 y sección 3.2.7 del SRS</t>
        </is>
      </c>
      <c r="S17" s="71" t="inlineStr">
        <is>
          <t>OK</t>
        </is>
      </c>
      <c r="T17" s="72" t="inlineStr">
        <is>
          <t>1. Identificador único: CU-08 referenciado en SRS
2. Vinculado a CU-04, CU-05, CU-07 y sección 3.2.8 del SRS</t>
        </is>
      </c>
      <c r="U17" s="71" t="inlineStr">
        <is>
          <t>OK</t>
        </is>
      </c>
      <c r="V17" s="72" t="inlineStr">
        <is>
          <t>1. Identificador único: CU-09 referenciado en SRS
2. Vinculado a todos los CUs (requisito transversal) y sección 3.2.9 del SRS</t>
        </is>
      </c>
      <c r="W17" s="71" t="inlineStr">
        <is>
          <t>OK</t>
        </is>
      </c>
      <c r="X17" s="72" t="inlineStr">
        <is>
          <t>1. Identificador único: CU-10 referenciado en SRS
2. Vinculado a CU-03, CU-04 y sección 3.2.10 del SRS</t>
        </is>
      </c>
      <c r="Y17" s="71" t="inlineStr">
        <is>
          <t>OK</t>
        </is>
      </c>
      <c r="Z17" s="72" t="inlineStr">
        <is>
          <t>1. Identificador único: CU-11 referenciado en SRS
2. Vinculado a CU-03 y sección 3.2.11 del SRS</t>
        </is>
      </c>
      <c r="AA17" s="71" t="inlineStr">
        <is>
          <t>OK</t>
        </is>
      </c>
      <c r="AB17" s="72" t="inlineStr">
        <is>
          <t>1. Identificador único: CU-12 referenciado en SRS
2. Vinculado a CU-09 y sección 3.2.12 del SRS</t>
        </is>
      </c>
      <c r="AC17" s="71" t="inlineStr">
        <is>
          <t>OK</t>
        </is>
      </c>
      <c r="AD17" s="72" t="inlineStr">
        <is>
          <t>1. Identificador único: CU-13 referenciado en SRS
2. Vinculado a CU-04, CU-05, CU-08 y sección 3.2.13 del SRS</t>
        </is>
      </c>
    </row>
    <row r="18" ht="55" customHeight="1" s="64">
      <c r="B18" s="70" t="n">
        <v>10</v>
      </c>
      <c r="C18" s="70" t="inlineStr">
        <is>
          <t>Complete</t>
        </is>
      </c>
      <c r="E18" s="71" t="inlineStr">
        <is>
          <t>OK</t>
        </is>
      </c>
      <c r="F18" s="72" t="inlineStr">
        <is>
          <t>1. Contiene actor, precondiciones, flujo principal y postcondiciones
2. CU extendido describe flujos alternativos y excepciones</t>
        </is>
      </c>
      <c r="G18" s="71" t="inlineStr">
        <is>
          <t>OK</t>
        </is>
      </c>
      <c r="H18" s="72" t="inlineStr">
        <is>
          <t>1. Contiene actor, precondiciones, flujo principal y postcondiciones
2. CU extendido describe subprocesos de registro de nómina y generación QR</t>
        </is>
      </c>
      <c r="I18" s="71" t="inlineStr">
        <is>
          <t>OK</t>
        </is>
      </c>
      <c r="J18" s="72" t="inlineStr">
        <is>
          <t>1. Contiene actor, precondiciones, flujo principal y postcondiciones
2. CU extendido describe subprocesos de asignación de canchas y árbitros</t>
        </is>
      </c>
      <c r="K18" s="71" t="inlineStr">
        <is>
          <t>OK</t>
        </is>
      </c>
      <c r="L18" s="72" t="inlineStr">
        <is>
          <t>1. Contiene actor, precondiciones, flujo principal y postcondiciones
2. CU extendido (CU 4.1) describe el proceso de auditoría y publicación oficial</t>
        </is>
      </c>
      <c r="M18" s="71" t="inlineStr">
        <is>
          <t>OK</t>
        </is>
      </c>
      <c r="N18" s="72" t="inlineStr">
        <is>
          <t>1. Contiene actor, precondiciones, flujo principal y postcondiciones
2. CU extendido (CU 5.1) describe subproceso de registro de abonos con recibo</t>
        </is>
      </c>
      <c r="O18" s="71" t="inlineStr">
        <is>
          <t>OK</t>
        </is>
      </c>
      <c r="P18" s="72" t="inlineStr">
        <is>
          <t>1. Contiene actor, precondiciones, flujo principal, excepciones y postcondiciones
2. CU extendido (CU 6.1) describe subproceso offline y BAR</t>
        </is>
      </c>
      <c r="Q18" s="71" t="inlineStr">
        <is>
          <t>OK</t>
        </is>
      </c>
      <c r="R18" s="72" t="inlineStr">
        <is>
          <t>1. Contiene actor, precondiciones, flujo principal y postcondiciones
2. CU extendido (CU 7.1) describe subproceso de aplicación automática</t>
        </is>
      </c>
      <c r="S18" s="71" t="inlineStr">
        <is>
          <t>OK</t>
        </is>
      </c>
      <c r="T18" s="72" t="inlineStr">
        <is>
          <t>1. Contiene actor, precondiciones, flujo principal y postcondiciones
2. Tipos de reportes descritos completamente en el documento</t>
        </is>
      </c>
      <c r="U18" s="71" t="inlineStr">
        <is>
          <t>OK</t>
        </is>
      </c>
      <c r="V18" s="72" t="inlineStr">
        <is>
          <t>1. Contiene actor, precondiciones, flujo principal y postcondiciones
2. Describe los 5 roles con sus permisos específicos</t>
        </is>
      </c>
      <c r="W18" s="71" t="inlineStr">
        <is>
          <t>OK</t>
        </is>
      </c>
      <c r="X18" s="72" t="inlineStr">
        <is>
          <t>1. Contiene actor, precondiciones, flujo principal y postcondiciones
2. Tipos de consulta descritos completamente</t>
        </is>
      </c>
      <c r="Y18" s="71" t="inlineStr">
        <is>
          <t>OK</t>
        </is>
      </c>
      <c r="Z18" s="72" t="inlineStr">
        <is>
          <t>1. Contiene actor, precondiciones, flujo principal y postcondiciones
2. CU extendido describe subproceso de asignación con verificación de disponibilidad</t>
        </is>
      </c>
      <c r="AA18" s="71" t="inlineStr">
        <is>
          <t>OK</t>
        </is>
      </c>
      <c r="AB18" s="72" t="inlineStr">
        <is>
          <t>1. Contiene actor, precondiciones, flujo principal y postcondiciones
2. Describe los 5 perfiles de usuario con sus actividades específicas</t>
        </is>
      </c>
      <c r="AC18" s="71" t="inlineStr">
        <is>
          <t>OK</t>
        </is>
      </c>
      <c r="AD18" s="72" t="inlineStr">
        <is>
          <t>1. Contiene actor, precondiciones, flujo principal y postcondiciones
2. Describe el proceso completo desde cierre de jornadas hasta premiación</t>
        </is>
      </c>
    </row>
    <row r="19" ht="55" customHeight="1" s="64">
      <c r="B19" s="70" t="n">
        <v>11</v>
      </c>
      <c r="C19" s="70" t="inlineStr">
        <is>
          <t>Understandability</t>
        </is>
      </c>
      <c r="E19" s="71" t="inlineStr">
        <is>
          <t>OK</t>
        </is>
      </c>
      <c r="F19" s="72" t="inlineStr">
        <is>
          <t>1. Se involucra al cliente en la validación
2. Existe glosario de términos en sección 1.4 del SRS</t>
        </is>
      </c>
      <c r="G19" s="71" t="inlineStr">
        <is>
          <t>OK</t>
        </is>
      </c>
      <c r="H19" s="72" t="inlineStr">
        <is>
          <t>1. Se involucra al cliente y al capitán como partes interesadas
2. Glosario de términos respaldado en sección 1.4 del SRS</t>
        </is>
      </c>
      <c r="I19" s="71" t="inlineStr">
        <is>
          <t>OK</t>
        </is>
      </c>
      <c r="J19" s="72" t="inlineStr">
        <is>
          <t>1. Se involucra al cliente en la validación
2. Glosario de términos respaldado en sección 1.4 del SRS</t>
        </is>
      </c>
      <c r="K19" s="71" t="inlineStr">
        <is>
          <t>OK</t>
        </is>
      </c>
      <c r="L19" s="72" t="inlineStr">
        <is>
          <t>1. Se involucran Administrador, Capitán y Jugador como partes interesadas
2. Glosario de términos respaldado</t>
        </is>
      </c>
      <c r="M19" s="71" t="inlineStr">
        <is>
          <t>OK</t>
        </is>
      </c>
      <c r="N19" s="72" t="inlineStr">
        <is>
          <t>1. Se involucra al administrador y al capitán como partes interesadas
2. Glosario respaldado (cuota, multa, recibo, abono, saldo)</t>
        </is>
      </c>
      <c r="O19" s="71" t="inlineStr">
        <is>
          <t>OK</t>
        </is>
      </c>
      <c r="P19" s="72" t="inlineStr">
        <is>
          <t>1. Se involucra al vocal de mesa y al árbitro como partes interesadas
2. Glosario respaldado (QR, acta digital, offline, sincronización)</t>
        </is>
      </c>
      <c r="Q19" s="71" t="inlineStr">
        <is>
          <t>OK</t>
        </is>
      </c>
      <c r="R19" s="72" t="inlineStr">
        <is>
          <t>1. Se involucran administrador y vocal de mesa como partes interesadas
2. Glosario respaldado (tarjeta amarilla, tarjeta roja, suspensión, inhabilitación)</t>
        </is>
      </c>
      <c r="S19" s="71" t="inlineStr">
        <is>
          <t>OK</t>
        </is>
      </c>
      <c r="T19" s="72" t="inlineStr">
        <is>
          <t>1. Se involucra al administrador como parte interesada principal
2. Glosario respaldado (reporte, estadística, posiciones, sanciones)</t>
        </is>
      </c>
      <c r="U19" s="71" t="inlineStr">
        <is>
          <t>OK</t>
        </is>
      </c>
      <c r="V19" s="72" t="inlineStr">
        <is>
          <t>1. Se involucran todos los tipos de usuario como partes interesadas
2. Glosario respaldado (RBAC, rol, permiso, autenticación, JWT)</t>
        </is>
      </c>
      <c r="W19" s="71" t="inlineStr">
        <is>
          <t>OK</t>
        </is>
      </c>
      <c r="X19" s="72" t="inlineStr">
        <is>
          <t>1. Se involucran Capitán, Jugador y público en general
2. Glosario respaldado (fixture, tabla, posiciones, estadísticas)</t>
        </is>
      </c>
      <c r="Y19" s="71" t="inlineStr">
        <is>
          <t>OK</t>
        </is>
      </c>
      <c r="Z19" s="72" t="inlineStr">
        <is>
          <t>1. Se involucran administrador y árbitros como partes interesadas
2. Glosario respaldado (árbitro, honorario, disponibilidad, asignación)</t>
        </is>
      </c>
      <c r="AA19" s="71" t="inlineStr">
        <is>
          <t>OK</t>
        </is>
      </c>
      <c r="AB19" s="72" t="inlineStr">
        <is>
          <t>1. Se involucra al administrador como parte interesada principal
2. Glosario respaldado (administrador, vocal, árbitro, capitán, jugador, rol)</t>
        </is>
      </c>
      <c r="AC19" s="71" t="inlineStr">
        <is>
          <t>OK</t>
        </is>
      </c>
      <c r="AD19" s="72" t="inlineStr">
        <is>
          <t>1. Se involucran administrador y capitanes como partes interesadas
2. Glosario respaldado (premiación, campeón, tabla final, cierre de campeonato)</t>
        </is>
      </c>
    </row>
  </sheetData>
  <mergeCells count="42">
    <mergeCell ref="C15:D15"/>
    <mergeCell ref="R7:R8"/>
    <mergeCell ref="G7:G8"/>
    <mergeCell ref="X7:X8"/>
    <mergeCell ref="C14:D14"/>
    <mergeCell ref="I7:I8"/>
    <mergeCell ref="Z7:Z8"/>
    <mergeCell ref="M7:M8"/>
    <mergeCell ref="C3:AD4"/>
    <mergeCell ref="S7:S8"/>
    <mergeCell ref="C18:D18"/>
    <mergeCell ref="U7:U8"/>
    <mergeCell ref="W7:W8"/>
    <mergeCell ref="E5:AD5"/>
    <mergeCell ref="C10:D10"/>
    <mergeCell ref="C16:D16"/>
    <mergeCell ref="C7:D8"/>
    <mergeCell ref="H7:H8"/>
    <mergeCell ref="Y7:Y8"/>
    <mergeCell ref="C9:D9"/>
    <mergeCell ref="J7:J8"/>
    <mergeCell ref="P7:P8"/>
    <mergeCell ref="AA7:AA8"/>
    <mergeCell ref="AB7:AB8"/>
    <mergeCell ref="C12:D12"/>
    <mergeCell ref="C11:D11"/>
    <mergeCell ref="T7:T8"/>
    <mergeCell ref="E7:E8"/>
    <mergeCell ref="K7:K8"/>
    <mergeCell ref="V7:V8"/>
    <mergeCell ref="E6:AD6"/>
    <mergeCell ref="AC7:AC8"/>
    <mergeCell ref="AD7:AD8"/>
    <mergeCell ref="O7:O8"/>
    <mergeCell ref="C17:D17"/>
    <mergeCell ref="Q7:Q8"/>
    <mergeCell ref="C19:D19"/>
    <mergeCell ref="B7:B8"/>
    <mergeCell ref="C13:D13"/>
    <mergeCell ref="F7:F8"/>
    <mergeCell ref="L7:L8"/>
    <mergeCell ref="N7:N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CU-01: Gestionar campeonato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CU-01'!$C$8:$C$16)</f>
        <v/>
      </c>
      <c r="D17" s="81">
        <f>COUNTA('COMPROBACION - CU-01'!$D$8:$D$16)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CU-01'!$C$22:$C$26)</f>
        <v/>
      </c>
      <c r="D27" s="81">
        <f>COUNTA('COMPROBACION - CU-01'!$D$22:$D$26)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CU-01'!$C$32:$C$34)</f>
        <v/>
      </c>
      <c r="D35" s="81">
        <f>COUNTA('COMPROBACION - CU-01'!$D$32:$D$34)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CU-01?</t>
        </is>
      </c>
      <c r="B2" s="79" t="inlineStr">
        <is>
          <t>Elaborar una lista de Criterios de Aceptación en formato Given-When-Then para CU-01: Gestionar campeonato,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CU-01?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CU-02: Registrar equipos y jugadores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CU-02'!$C$8:$C$16)</f>
        <v/>
      </c>
      <c r="D17" s="81">
        <f>COUNTA('COMPROBACION - CU-02'!$D$8:$D$16)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CU-02'!$C$22:$C$26)</f>
        <v/>
      </c>
      <c r="D27" s="81">
        <f>COUNTA('COMPROBACION - CU-02'!$D$22:$D$26)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CU-02'!$C$32:$C$34)</f>
        <v/>
      </c>
      <c r="D35" s="81">
        <f>COUNTA('COMPROBACION - CU-02'!$D$32:$D$34)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CU-02?</t>
        </is>
      </c>
      <c r="B2" s="79" t="inlineStr">
        <is>
          <t>Elaborar una lista de Criterios de Aceptación en formato Given-When-Then para CU-02: Registrar equipos y jugadores,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CU-02?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CU-03: Planificar jornadas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CU-03'!$C$8:$C$16)</f>
        <v/>
      </c>
      <c r="D17" s="81">
        <f>COUNTA('COMPROBACION - CU-03'!$D$8:$D$16)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CU-03'!$C$22:$C$26)</f>
        <v/>
      </c>
      <c r="D27" s="81">
        <f>COUNTA('COMPROBACION - CU-03'!$D$22:$D$26)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CU-03'!$C$32:$C$34)</f>
        <v/>
      </c>
      <c r="D35" s="81">
        <f>COUNTA('COMPROBACION - CU-03'!$D$32:$D$34)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CU-03?</t>
        </is>
      </c>
      <c r="B2" s="79" t="inlineStr">
        <is>
          <t>Elaborar una lista de Criterios de Aceptación en formato Given-When-Then para CU-03: Planificar jornadas,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CU-03?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CU-04: Gestionar tabla de posiciones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CU-04'!$C$8:$C$16)</f>
        <v/>
      </c>
      <c r="D17" s="81">
        <f>COUNTA('COMPROBACION - CU-04'!$D$8:$D$16)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CU-04'!$C$22:$C$26)</f>
        <v/>
      </c>
      <c r="D27" s="81">
        <f>COUNTA('COMPROBACION - CU-04'!$D$22:$D$26)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CU-04'!$C$32:$C$34)</f>
        <v/>
      </c>
      <c r="D35" s="81">
        <f>COUNTA('COMPROBACION - CU-04'!$D$32:$D$34)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CU-04?</t>
        </is>
      </c>
      <c r="B2" s="79" t="inlineStr">
        <is>
          <t>Elaborar una lista de Criterios de Aceptación en formato Given-When-Then para CU-04: Gestionar tabla de posiciones,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CU-04?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CU-05: Controlar pagos y multas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CU-05'!$C$8:$C$16)</f>
        <v/>
      </c>
      <c r="D17" s="81">
        <f>COUNTA('COMPROBACION - CU-05'!$D$8:$D$16)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CU-05'!$C$22:$C$26)</f>
        <v/>
      </c>
      <c r="D27" s="81">
        <f>COUNTA('COMPROBACION - CU-05'!$D$22:$D$26)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CU-05'!$C$32:$C$34)</f>
        <v/>
      </c>
      <c r="D35" s="81">
        <f>COUNTA('COMPROBACION - CU-05'!$D$32:$D$34)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CU-05?</t>
        </is>
      </c>
      <c r="B2" s="79" t="inlineStr">
        <is>
          <t>Elaborar una lista de Criterios de Aceptación en formato Given-When-Then para CU-05: Controlar pagos y multas,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CU-05?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CU-06: Vocalía digital en cancha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CU-06'!$C$8:$C$16)</f>
        <v/>
      </c>
      <c r="D17" s="81">
        <f>COUNTA('COMPROBACION - CU-06'!$D$8:$D$16)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CU-06'!$C$22:$C$26)</f>
        <v/>
      </c>
      <c r="D27" s="81">
        <f>COUNTA('COMPROBACION - CU-06'!$D$22:$D$26)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CU-06'!$C$32:$C$34)</f>
        <v/>
      </c>
      <c r="D35" s="81">
        <f>COUNTA('COMPROBACION - CU-06'!$D$32:$D$34)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CU-06?</t>
        </is>
      </c>
      <c r="B2" s="79" t="inlineStr">
        <is>
          <t>Elaborar una lista de Criterios de Aceptación en formato Given-When-Then para CU-06: Vocalía digital en cancha,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CU-06?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CU-07: Gestionar sanciones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CU-07'!$C$8:$C$16)</f>
        <v/>
      </c>
      <c r="D17" s="81">
        <f>COUNTA('COMPROBACION - CU-07'!$D$8:$D$16)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CU-07'!$C$22:$C$26)</f>
        <v/>
      </c>
      <c r="D27" s="81">
        <f>COUNTA('COMPROBACION - CU-07'!$D$22:$D$26)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CU-07'!$C$32:$C$34)</f>
        <v/>
      </c>
      <c r="D35" s="81">
        <f>COUNTA('COMPROBACION - CU-07'!$D$32:$D$34)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CU-07?</t>
        </is>
      </c>
      <c r="B2" s="79" t="inlineStr">
        <is>
          <t>Elaborar una lista de Criterios de Aceptación en formato Given-When-Then para CU-07: Gestionar sanciones,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CU-07?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CU-08: Generar reportes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CU-08'!$C$8:$C$16)</f>
        <v/>
      </c>
      <c r="D17" s="81">
        <f>COUNTA('COMPROBACION - CU-08'!$D$8:$D$16)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CU-08'!$C$22:$C$26)</f>
        <v/>
      </c>
      <c r="D27" s="81">
        <f>COUNTA('COMPROBACION - CU-08'!$D$22:$D$26)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CU-08'!$C$32:$C$34)</f>
        <v/>
      </c>
      <c r="D35" s="81">
        <f>COUNTA('COMPROBACION - CU-08'!$D$32:$D$34)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CU-08?</t>
        </is>
      </c>
      <c r="B2" s="79" t="inlineStr">
        <is>
          <t>Elaborar una lista de Criterios de Aceptación en formato Given-When-Then para CU-08: Generar reportes,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CU-08?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CU-09: Gestionar acceso y seguridad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CU-09'!$C$8:$C$16)</f>
        <v/>
      </c>
      <c r="D17" s="81">
        <f>COUNTA('COMPROBACION - CU-09'!$D$8:$D$16)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CU-09'!$C$22:$C$26)</f>
        <v/>
      </c>
      <c r="D27" s="81">
        <f>COUNTA('COMPROBACION - CU-09'!$D$22:$D$26)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CU-09'!$C$32:$C$34)</f>
        <v/>
      </c>
      <c r="D35" s="81">
        <f>COUNTA('COMPROBACION - CU-09'!$D$32:$D$34)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CU-09?</t>
        </is>
      </c>
      <c r="B2" s="79" t="inlineStr">
        <is>
          <t>Elaborar una lista de Criterios de Aceptación en formato Given-When-Then para CU-09: Gestionar acceso y seguridad,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CU-09?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CU-10: Consultar información campeonato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CU-10'!$C$8:$C$16)</f>
        <v/>
      </c>
      <c r="D17" s="81">
        <f>COUNTA('COMPROBACION - CU-10'!$D$8:$D$16)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CU-10'!$C$22:$C$26)</f>
        <v/>
      </c>
      <c r="D27" s="81">
        <f>COUNTA('COMPROBACION - CU-10'!$D$22:$D$26)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CU-10'!$C$32:$C$34)</f>
        <v/>
      </c>
      <c r="D35" s="81">
        <f>COUNTA('COMPROBACION - CU-10'!$D$32:$D$34)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CU-10?</t>
        </is>
      </c>
      <c r="B2" s="79" t="inlineStr">
        <is>
          <t>Elaborar una lista de Criterios de Aceptación en formato Given-When-Then para CU-10: Consultar información campeonato,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CU-10?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CU-11: Gestionar cuerpo de árbitros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CU-11'!$C$8:$C$16)</f>
        <v/>
      </c>
      <c r="D17" s="81">
        <f>COUNTA('COMPROBACION - CU-11'!$D$8:$D$16)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CU-11'!$C$22:$C$26)</f>
        <v/>
      </c>
      <c r="D27" s="81">
        <f>COUNTA('COMPROBACION - CU-11'!$D$22:$D$26)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CU-11'!$C$32:$C$34)</f>
        <v/>
      </c>
      <c r="D35" s="81">
        <f>COUNTA('COMPROBACION - CU-11'!$D$32:$D$34)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CU-11?</t>
        </is>
      </c>
      <c r="B2" s="79" t="inlineStr">
        <is>
          <t>Elaborar una lista de Criterios de Aceptación en formato Given-When-Then para CU-11: Gestionar cuerpo de árbitros,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CU-11?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CU-12: Gestionar usuarios del sistema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CU-12'!$C$8:$C$16)</f>
        <v/>
      </c>
      <c r="D17" s="81">
        <f>COUNTA('COMPROBACION - CU-12'!$D$8:$D$16)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CU-12'!$C$22:$C$26)</f>
        <v/>
      </c>
      <c r="D27" s="81">
        <f>COUNTA('COMPROBACION - CU-12'!$D$22:$D$26)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CU-12'!$C$32:$C$34)</f>
        <v/>
      </c>
      <c r="D35" s="81">
        <f>COUNTA('COMPROBACION - CU-12'!$D$32:$D$34)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CU-12?</t>
        </is>
      </c>
      <c r="B2" s="79" t="inlineStr">
        <is>
          <t>Elaborar una lista de Criterios de Aceptación en formato Given-When-Then para CU-12: Gestionar usuarios del sistema,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CU-12?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0.71" customWidth="1" style="64" min="1" max="1"/>
    <col width="34.57" customWidth="1" style="64" min="2" max="2"/>
    <col width="16.14" customWidth="1" style="64" min="3" max="3"/>
    <col width="10.71" customWidth="1" style="64" min="4" max="4"/>
  </cols>
  <sheetData>
    <row r="1" ht="51" customHeight="1" s="64">
      <c r="B1" s="74" t="inlineStr">
        <is>
          <t>SISTEMA:</t>
        </is>
      </c>
      <c r="C1" s="75" t="inlineStr">
        <is>
          <t>SISTEMA DE GESTION DE CAMPEONATOS DEPORTIVOS (SGC-CMG)</t>
        </is>
      </c>
    </row>
    <row r="2">
      <c r="B2" s="74" t="inlineStr">
        <is>
          <t>FECHA:</t>
        </is>
      </c>
      <c r="C2" s="75" t="inlineStr">
        <is>
          <t>2026-10-03</t>
        </is>
      </c>
    </row>
    <row r="3">
      <c r="B3" s="74" t="inlineStr">
        <is>
          <t>AUTOR:</t>
        </is>
      </c>
      <c r="C3" s="75" t="inlineStr">
        <is>
          <t>G5 - Sistema de Gestión de Campeonatos Deportivos CMG</t>
        </is>
      </c>
    </row>
    <row r="4">
      <c r="B4" s="74" t="inlineStr">
        <is>
          <t>REQUERIMIENTOS EVALUADOS :</t>
        </is>
      </c>
      <c r="C4" s="75" t="inlineStr">
        <is>
          <t>CU-13: Cerrar campeonato y premiación</t>
        </is>
      </c>
    </row>
    <row r="6">
      <c r="A6" s="76" t="inlineStr">
        <is>
          <t>CONTENIDO</t>
        </is>
      </c>
    </row>
    <row r="7">
      <c r="A7" s="77" t="inlineStr">
        <is>
          <t>No.</t>
        </is>
      </c>
      <c r="B7" s="77" t="inlineStr">
        <is>
          <t>Pregunta</t>
        </is>
      </c>
      <c r="C7" s="77" t="inlineStr">
        <is>
          <t>SI</t>
        </is>
      </c>
      <c r="D7" s="77" t="inlineStr">
        <is>
          <t xml:space="preserve">NO </t>
        </is>
      </c>
    </row>
    <row r="8">
      <c r="A8" s="78" t="n">
        <v>1</v>
      </c>
      <c r="B8" s="79" t="inlineStr">
        <is>
          <t>Todos los requerimientos relevantes se han documentado?</t>
        </is>
      </c>
      <c r="C8" s="78" t="inlineStr">
        <is>
          <t>X</t>
        </is>
      </c>
      <c r="D8" s="78" t="inlineStr"/>
    </row>
    <row r="9">
      <c r="A9" s="78" t="n">
        <v>2</v>
      </c>
      <c r="B9" s="79" t="inlineStr">
        <is>
          <t>Se han implementado las funciones requeridas?</t>
        </is>
      </c>
      <c r="C9" s="78" t="inlineStr">
        <is>
          <t>X</t>
        </is>
      </c>
      <c r="D9" s="78" t="inlineStr"/>
    </row>
    <row r="10">
      <c r="A10" s="78" t="n">
        <v>3</v>
      </c>
      <c r="B10" s="79" t="inlineStr">
        <is>
          <t xml:space="preserve"> Existe algún mecanismo que permita seguir el impacto de dicho requerimiento a lo largo del resto de las actividades del ciclo productivo.?</t>
        </is>
      </c>
      <c r="C10" s="78" t="inlineStr">
        <is>
          <t>X</t>
        </is>
      </c>
      <c r="D10" s="78" t="inlineStr"/>
    </row>
    <row r="11">
      <c r="A11" s="78" t="n">
        <v>4</v>
      </c>
      <c r="B11" s="79" t="inlineStr">
        <is>
          <t>El origen de cada requerimento individual está claro ?</t>
        </is>
      </c>
      <c r="C11" s="78" t="inlineStr">
        <is>
          <t>X</t>
        </is>
      </c>
      <c r="D11" s="78" t="inlineStr"/>
    </row>
    <row r="12">
      <c r="A12" s="78" t="n">
        <v>5</v>
      </c>
      <c r="B12" s="79" t="inlineStr">
        <is>
          <t>Que tan facil es devolverse a los requerimientos?</t>
        </is>
      </c>
      <c r="C12" s="78" t="inlineStr">
        <is>
          <t>X</t>
        </is>
      </c>
      <c r="D12" s="78" t="inlineStr"/>
    </row>
    <row r="13">
      <c r="A13" s="78" t="n">
        <v>6</v>
      </c>
      <c r="B13" s="79" t="inlineStr">
        <is>
          <t xml:space="preserve"> Los requerimientos reflejan las necesidades y deseos del cliente?</t>
        </is>
      </c>
      <c r="C13" s="78" t="inlineStr">
        <is>
          <t>X</t>
        </is>
      </c>
      <c r="D13" s="78" t="inlineStr"/>
    </row>
    <row r="14">
      <c r="A14" s="78" t="n">
        <v>7</v>
      </c>
      <c r="B14" s="79" t="inlineStr">
        <is>
          <t>No hay contradicciones entre los requerimientos?</t>
        </is>
      </c>
      <c r="C14" s="78" t="inlineStr">
        <is>
          <t>X</t>
        </is>
      </c>
      <c r="D14" s="78" t="inlineStr"/>
    </row>
    <row r="15">
      <c r="A15" s="78" t="n">
        <v>8</v>
      </c>
      <c r="B15" s="79" t="inlineStr">
        <is>
          <t>El requerimiento que se esta especificando contribuye a alcanzar un objetivo definido ?</t>
        </is>
      </c>
      <c r="C15" s="78" t="inlineStr">
        <is>
          <t>X</t>
        </is>
      </c>
      <c r="D15" s="78" t="inlineStr"/>
    </row>
    <row r="16">
      <c r="A16" s="78" t="n">
        <v>9</v>
      </c>
      <c r="B16" s="79" t="inlineStr">
        <is>
          <t>Existe un proceso acotado (en plazo y presupuesto) que permita determinar que el sistema construido satisface lo descrito en el propio requerimiento?</t>
        </is>
      </c>
      <c r="C16" s="78" t="inlineStr"/>
      <c r="D16" s="78" t="inlineStr">
        <is>
          <t>X</t>
        </is>
      </c>
    </row>
    <row r="17">
      <c r="A17" s="80" t="inlineStr">
        <is>
          <t>SUMATORIA:</t>
        </is>
      </c>
      <c r="C17" s="81">
        <f>COUNTA('COMPROBACION - CU-13'!$C$8:$C$16)</f>
        <v/>
      </c>
      <c r="D17" s="81">
        <f>COUNTA('COMPROBACION - CU-13'!$D$8:$D$16)</f>
        <v/>
      </c>
    </row>
    <row r="18">
      <c r="A18" s="80" t="inlineStr">
        <is>
          <t>PORCENTAJE :</t>
        </is>
      </c>
      <c r="C18" s="81">
        <f>C17/9</f>
        <v/>
      </c>
      <c r="D18" s="81">
        <f>D17/9</f>
        <v/>
      </c>
    </row>
    <row r="20">
      <c r="A20" s="76" t="inlineStr">
        <is>
          <t>DOCUMENTACIÓN</t>
        </is>
      </c>
    </row>
    <row r="21">
      <c r="A21" s="82" t="inlineStr">
        <is>
          <t>No.</t>
        </is>
      </c>
      <c r="B21" s="82" t="inlineStr">
        <is>
          <t>Pregunta</t>
        </is>
      </c>
      <c r="C21" s="83" t="inlineStr">
        <is>
          <t>SI</t>
        </is>
      </c>
      <c r="D21" s="83" t="inlineStr">
        <is>
          <t xml:space="preserve">NO </t>
        </is>
      </c>
    </row>
    <row r="22">
      <c r="A22" s="78" t="n">
        <v>1</v>
      </c>
      <c r="B22" s="79" t="inlineStr">
        <is>
          <t>Aplica un estandar para la documetación de requerimiento?</t>
        </is>
      </c>
      <c r="C22" s="78" t="inlineStr">
        <is>
          <t>X</t>
        </is>
      </c>
      <c r="D22" s="78" t="inlineStr"/>
    </row>
    <row r="23">
      <c r="A23" s="78" t="n">
        <v>2</v>
      </c>
      <c r="B23" s="79" t="inlineStr">
        <is>
          <t>Cumple con la estructura definida por el estandar?</t>
        </is>
      </c>
      <c r="C23" s="78" t="inlineStr">
        <is>
          <t>X</t>
        </is>
      </c>
      <c r="D23" s="78" t="inlineStr"/>
    </row>
    <row r="24">
      <c r="A24" s="78" t="n">
        <v>3</v>
      </c>
      <c r="B24" s="79" t="inlineStr">
        <is>
          <t>Utiliza un Glosario de términos normalizado?</t>
        </is>
      </c>
      <c r="C24" s="78" t="inlineStr">
        <is>
          <t>X</t>
        </is>
      </c>
      <c r="D24" s="78" t="inlineStr"/>
    </row>
    <row r="25">
      <c r="A25" s="78" t="n">
        <v>4</v>
      </c>
      <c r="B25" s="79" t="inlineStr">
        <is>
          <t>Los requerimientos Funcionales estan sujetos a una única interpretación?</t>
        </is>
      </c>
      <c r="C25" s="78" t="inlineStr">
        <is>
          <t>X</t>
        </is>
      </c>
      <c r="D25" s="78" t="inlineStr"/>
    </row>
    <row r="26">
      <c r="A26" s="78" t="n">
        <v>5</v>
      </c>
      <c r="B26" s="79" t="inlineStr">
        <is>
          <t>El modelo aplicado cumple con la sintaxis?</t>
        </is>
      </c>
      <c r="C26" s="78" t="inlineStr">
        <is>
          <t>X</t>
        </is>
      </c>
      <c r="D26" s="78" t="inlineStr"/>
    </row>
    <row r="27">
      <c r="A27" s="80" t="inlineStr">
        <is>
          <t>SUMATORIA:</t>
        </is>
      </c>
      <c r="C27" s="81">
        <f>COUNTA('COMPROBACION - CU-13'!$C$22:$C$26)</f>
        <v/>
      </c>
      <c r="D27" s="81">
        <f>COUNTA('COMPROBACION - CU-13'!$D$22:$D$26)</f>
        <v/>
      </c>
    </row>
    <row r="28">
      <c r="A28" s="80" t="inlineStr">
        <is>
          <t>PORCENTAJE :</t>
        </is>
      </c>
      <c r="C28" s="81">
        <f>C27/5</f>
        <v/>
      </c>
      <c r="D28" s="81">
        <f>D27/5</f>
        <v/>
      </c>
    </row>
    <row r="30">
      <c r="A30" s="76" t="inlineStr">
        <is>
          <t>NIVEL DE ACUERDO</t>
        </is>
      </c>
    </row>
    <row r="31">
      <c r="A31" s="82" t="inlineStr">
        <is>
          <t>No.</t>
        </is>
      </c>
      <c r="B31" s="82" t="inlineStr">
        <is>
          <t>Pregunta</t>
        </is>
      </c>
      <c r="C31" s="83" t="inlineStr">
        <is>
          <t>SI</t>
        </is>
      </c>
      <c r="D31" s="83" t="inlineStr">
        <is>
          <t xml:space="preserve">NO </t>
        </is>
      </c>
    </row>
    <row r="32">
      <c r="A32" s="78" t="n">
        <v>1</v>
      </c>
      <c r="B32" s="79" t="inlineStr">
        <is>
          <t>Todos los requerimientos  han sido acordados con todos los interesados?</t>
        </is>
      </c>
      <c r="C32" s="78" t="inlineStr">
        <is>
          <t>X</t>
        </is>
      </c>
      <c r="D32" s="78" t="inlineStr"/>
    </row>
    <row r="33">
      <c r="A33" s="78" t="n">
        <v>2</v>
      </c>
      <c r="B33" s="79" t="inlineStr">
        <is>
          <t>Todos los requerimientos  modificados han sido acordados por todos los implicados?</t>
        </is>
      </c>
      <c r="C33" s="78" t="inlineStr">
        <is>
          <t>X</t>
        </is>
      </c>
      <c r="D33" s="78" t="inlineStr"/>
    </row>
    <row r="34">
      <c r="A34" s="78" t="n">
        <v>3</v>
      </c>
      <c r="B34" s="79" t="inlineStr">
        <is>
          <t>Han sido resueltos todos los conflictos conocidos respectos de los requerimientos?</t>
        </is>
      </c>
      <c r="C34" s="78" t="inlineStr">
        <is>
          <t>X</t>
        </is>
      </c>
      <c r="D34" s="78" t="inlineStr"/>
    </row>
    <row r="35">
      <c r="A35" s="80" t="inlineStr">
        <is>
          <t>SUMATORIA:</t>
        </is>
      </c>
      <c r="C35" s="81">
        <f>COUNTA('COMPROBACION - CU-13'!$C$32:$C$34)</f>
        <v/>
      </c>
      <c r="D35" s="81">
        <f>COUNTA('COMPROBACION - CU-13'!$D$32:$D$34)</f>
        <v/>
      </c>
    </row>
    <row r="36">
      <c r="A36" s="80" t="inlineStr">
        <is>
          <t>PORCENTAJE :</t>
        </is>
      </c>
      <c r="C36" s="81">
        <f>C35/3</f>
        <v/>
      </c>
      <c r="D36" s="81">
        <f>D35/3</f>
        <v/>
      </c>
    </row>
    <row r="40">
      <c r="A40" s="74" t="inlineStr">
        <is>
          <t>RESUMEN</t>
        </is>
      </c>
    </row>
    <row r="41" ht="30" customHeight="1" s="64">
      <c r="B41" s="84" t="inlineStr">
        <is>
          <t xml:space="preserve">CONTENIDO </t>
        </is>
      </c>
      <c r="C41" s="81">
        <f>C17/9*100</f>
        <v/>
      </c>
    </row>
    <row r="42" ht="30" customHeight="1" s="64">
      <c r="B42" s="84" t="inlineStr">
        <is>
          <t>DOCUMENTACIÓN</t>
        </is>
      </c>
      <c r="C42" s="81">
        <f>C27/5*100</f>
        <v/>
      </c>
    </row>
    <row r="43" ht="30" customHeight="1" s="64">
      <c r="B43" s="84" t="inlineStr">
        <is>
          <t>NIVEL DE ACUERDO</t>
        </is>
      </c>
      <c r="C43" s="81">
        <f>C35/3*100</f>
        <v/>
      </c>
    </row>
  </sheetData>
  <mergeCells count="14">
    <mergeCell ref="A6:D6"/>
    <mergeCell ref="C2:D2"/>
    <mergeCell ref="C1:D1"/>
    <mergeCell ref="A20:D20"/>
    <mergeCell ref="A30:D30"/>
    <mergeCell ref="A28:B28"/>
    <mergeCell ref="A40:C40"/>
    <mergeCell ref="A36:B36"/>
    <mergeCell ref="A17:B17"/>
    <mergeCell ref="A18:B18"/>
    <mergeCell ref="A27:B27"/>
    <mergeCell ref="C3:D3"/>
    <mergeCell ref="A35:B35"/>
    <mergeCell ref="C4:D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4.14" customWidth="1" style="64" min="1" max="1"/>
    <col width="57.29" customWidth="1" style="64" min="2" max="2"/>
  </cols>
  <sheetData>
    <row r="1">
      <c r="A1" s="85" t="inlineStr">
        <is>
          <t>PREGUNTA</t>
        </is>
      </c>
      <c r="B1" s="85" t="inlineStr">
        <is>
          <t>RECOMENDACIÓN</t>
        </is>
      </c>
    </row>
    <row r="2">
      <c r="A2" s="79" t="inlineStr">
        <is>
          <t>¿Se han definido criterios de aceptación y casos de prueba que permitan medir objetivamente el cumplimiento del CU-13?</t>
        </is>
      </c>
      <c r="B2" s="79" t="inlineStr">
        <is>
          <t>Elaborar una lista de Criterios de Aceptación en formato Given-When-Then para CU-13: Cerrar campeonato y premiación, asociada a pruebas unitarias o de aceptación automatizadas, de modo que cada criterio quede cubierto por al menos un caso de prueba. Esto garantizará que el cumplimiento del requisito pueda ser verificado de forma objetiva y medible.</t>
        </is>
      </c>
    </row>
    <row r="3">
      <c r="A3" s="79" t="inlineStr">
        <is>
          <t>¿Se han validado y aprobado formalmente todos los entregables de la entrevista (videoconferencia, minuta, acta de aceptación) para CU-13?</t>
        </is>
      </c>
      <c r="B3" s="79" t="inlineStr">
        <is>
          <t>Establecer firmas digitales o un acta de reunión oficial tras cada sesión de descubrimiento, de modo que quede constancia inequívoca de la aprobación de alcance y contenido por parte del tutor, cliente y equipo de desarrollo.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2026-10-03T23:59:48Z</dcterms:created>
  <dcterms:modified xmlns:dcterms="http://purl.org/dc/terms/" xmlns:xsi="http://www.w3.org/2001/XMLSchema-instance" xsi:type="dcterms:W3CDTF">2026-10-03T23:59:48Z</dcterms:modified>
</cp:coreProperties>
</file>